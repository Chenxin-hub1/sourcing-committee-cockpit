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ssivesafety-my.sharepoint.com/personal/xiangwei_chen_zf-lifetec_com/Documents/Program Purchasing RB/01. Sourcing/Sourcing Alignment Committee/KW51, 17.12.2025/"/>
    </mc:Choice>
  </mc:AlternateContent>
  <xr:revisionPtr revIDLastSave="153" documentId="14_{307714A4-324C-4EA9-8D78-C0467963A8C9}" xr6:coauthVersionLast="47" xr6:coauthVersionMax="47" xr10:uidLastSave="{971804C6-2922-48B8-9BF0-52E8CB70AEF2}"/>
  <bookViews>
    <workbookView xWindow="-108" yWindow="-108" windowWidth="23256" windowHeight="12456" xr2:uid="{00000000-000D-0000-FFFF-FFFF00000000}"/>
  </bookViews>
  <sheets>
    <sheet name="KW51, 2025" sheetId="4" r:id="rId1"/>
    <sheet name="Scorecard" sheetId="5" r:id="rId2"/>
    <sheet name="BPP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4" l="1"/>
  <c r="W2" i="4"/>
  <c r="V3" i="4"/>
  <c r="V2" i="4"/>
  <c r="Z3" i="4"/>
  <c r="Z10" i="4"/>
  <c r="W10" i="4"/>
  <c r="V10" i="4"/>
  <c r="W7" i="4"/>
  <c r="V7" i="4"/>
  <c r="W8" i="4"/>
  <c r="V8" i="4"/>
  <c r="Z9" i="4"/>
  <c r="W9" i="4"/>
  <c r="V9" i="4"/>
  <c r="Z8" i="4"/>
  <c r="Z7" i="4"/>
  <c r="Z12" i="4"/>
  <c r="Z11" i="4"/>
  <c r="W12" i="4"/>
  <c r="V12" i="4"/>
  <c r="W11" i="4"/>
  <c r="V11" i="4"/>
  <c r="W13" i="4"/>
  <c r="V13" i="4"/>
  <c r="Z13" i="4"/>
  <c r="Z14" i="4"/>
  <c r="W14" i="4"/>
  <c r="V14" i="4"/>
  <c r="Z5" i="4"/>
  <c r="W5" i="4"/>
  <c r="V5" i="4"/>
  <c r="Z4" i="4"/>
  <c r="W4" i="4"/>
  <c r="V4" i="4"/>
  <c r="V6" i="4"/>
  <c r="W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tc={B35285CC-4DE7-4426-9CA4-D7E0B4474FC1}</author>
  </authors>
  <commentList>
    <comment ref="Y6" authorId="0" shapeId="0" xr:uid="{B35285CC-4DE7-4426-9CA4-D7E0B4474F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72328 Euro paid with AMO
</t>
      </text>
    </comment>
  </commentList>
</comments>
</file>

<file path=xl/sharedStrings.xml><?xml version="1.0" encoding="utf-8"?>
<sst xmlns="http://schemas.openxmlformats.org/spreadsheetml/2006/main" count="226" uniqueCount="171">
  <si>
    <t>#</t>
  </si>
  <si>
    <t>Region</t>
  </si>
  <si>
    <t>Type</t>
  </si>
  <si>
    <t xml:space="preserve">LT Spend </t>
  </si>
  <si>
    <t>Project/ Product</t>
  </si>
  <si>
    <t>Commodity</t>
  </si>
  <si>
    <t>Presenter</t>
  </si>
  <si>
    <t>Decision Level</t>
  </si>
  <si>
    <t>Peak Year Spend</t>
  </si>
  <si>
    <t>SWAT ID / Bundle ID</t>
  </si>
  <si>
    <t>PN</t>
  </si>
  <si>
    <t>Recommended Supplier (s)</t>
  </si>
  <si>
    <t xml:space="preserve">Sourcing Decision </t>
  </si>
  <si>
    <t>Part Description</t>
  </si>
  <si>
    <t>Notes/Task/ Resp./ Due Date</t>
  </si>
  <si>
    <t>Parent PF Code</t>
  </si>
  <si>
    <t>CQA PC PRICE</t>
  </si>
  <si>
    <t>Rec. Supplier Landed</t>
  </si>
  <si>
    <t>Average Volume</t>
  </si>
  <si>
    <t>LT volume</t>
  </si>
  <si>
    <t>LT saving</t>
  </si>
  <si>
    <t xml:space="preserve">Rec. Supplier Tooling </t>
  </si>
  <si>
    <t>Average Year Saving vs CQA</t>
  </si>
  <si>
    <t>CQA Tooling</t>
  </si>
  <si>
    <t>Tooling Saving vs CQA</t>
  </si>
  <si>
    <t>Comment</t>
  </si>
  <si>
    <t>New</t>
  </si>
  <si>
    <t>L2</t>
  </si>
  <si>
    <t>NA</t>
  </si>
  <si>
    <t>EU</t>
  </si>
  <si>
    <t>V326 Front belts</t>
  </si>
  <si>
    <t>CA</t>
  </si>
  <si>
    <t>CA04003
High complexity parts</t>
  </si>
  <si>
    <t>SPOOL, RETR. TORSION-BAR ACR8+MSLL</t>
  </si>
  <si>
    <t>A024D192C</t>
  </si>
  <si>
    <t>OT Motor Vina Co., Ltd.</t>
  </si>
  <si>
    <t>Piotr Fręchowicz</t>
  </si>
  <si>
    <t>228K Euro</t>
  </si>
  <si>
    <t>0,6511 Euro/pc</t>
  </si>
  <si>
    <t>0,6094Euro/pc</t>
  </si>
  <si>
    <t>0 Euro</t>
  </si>
  <si>
    <t>CO GCS</t>
  </si>
  <si>
    <t xml:space="preserve">GM T1XX-2 </t>
  </si>
  <si>
    <t>SC</t>
  </si>
  <si>
    <t>110000033054</t>
  </si>
  <si>
    <t>R002Y935A</t>
  </si>
  <si>
    <t>SC06003
Cut&amp;Bend|Medium|Passenger Cars</t>
  </si>
  <si>
    <t>Anchor Bracket</t>
  </si>
  <si>
    <t>Proto Gage Tool &amp; Die, Inc.</t>
  </si>
  <si>
    <t>Wendy Li</t>
  </si>
  <si>
    <t>288K USD
262K Euro</t>
  </si>
  <si>
    <t>2,1 Mio USD
1,9 Mio Euro</t>
  </si>
  <si>
    <t>0,50 USD/pc
0,45 Euro/pc</t>
  </si>
  <si>
    <t>0,44 USD/pc
0,40 Euro/pc</t>
  </si>
  <si>
    <t>62,000 USD
56,363 EUR</t>
  </si>
  <si>
    <t>60,700 USD
55,182 Euro</t>
  </si>
  <si>
    <t>110000031642</t>
  </si>
  <si>
    <t>34118744A</t>
  </si>
  <si>
    <t>SC06004
Cut&amp;Bend|Small|Passenger Cars</t>
  </si>
  <si>
    <t>CO</t>
  </si>
  <si>
    <t>GM T1XX-2</t>
  </si>
  <si>
    <t>Cheersson Queretaro Precision Metal</t>
  </si>
  <si>
    <t>1,8 Mio RMB
1,6 Mio Euro</t>
  </si>
  <si>
    <t>10 Mio USD
9,3 Mio Euro</t>
  </si>
  <si>
    <t>0,336 USD/pc
0,30545 Euro/pc</t>
  </si>
  <si>
    <t>0,30355 USD/pc
0,27595 Euro/pc</t>
  </si>
  <si>
    <t>168,000 USD
152,727 Euro</t>
  </si>
  <si>
    <t>GCS</t>
  </si>
  <si>
    <t>T1XX-2 SUV</t>
  </si>
  <si>
    <t>CH</t>
  </si>
  <si>
    <t>B/2025/00088
110000031322</t>
  </si>
  <si>
    <t>BUCKLE COVER</t>
  </si>
  <si>
    <t>34352340D</t>
  </si>
  <si>
    <t>HENN (MX)</t>
  </si>
  <si>
    <t>Sandra Novegil</t>
  </si>
  <si>
    <t>L3</t>
  </si>
  <si>
    <t xml:space="preserve">Current Supplier Jinglei (new design) +  Wilko (old design).  
Tool replacement Wilko to HENN MX (new design) </t>
  </si>
  <si>
    <t>B/2025/00088
110000031319</t>
  </si>
  <si>
    <t>34352339D</t>
  </si>
  <si>
    <t>B/2025/00253
110000032606</t>
  </si>
  <si>
    <t>34313342C</t>
  </si>
  <si>
    <t>B/2025/00253
110000032605</t>
  </si>
  <si>
    <t>34313339C</t>
  </si>
  <si>
    <t>CH01016
Medium Precision</t>
  </si>
  <si>
    <t>86K USD
78K Euro</t>
  </si>
  <si>
    <t>600K USD
546K Euro</t>
  </si>
  <si>
    <t>0,08 USD/pc
0,07 Euro/pc</t>
  </si>
  <si>
    <t>0,10 USD/pc
0,09 Euro/pc</t>
  </si>
  <si>
    <t>50,000 USD
45,455 Euro</t>
  </si>
  <si>
    <t>0,06 USD/pc
0,05 Euro/pc</t>
  </si>
  <si>
    <t>109,200 USD
99,273 Euro</t>
  </si>
  <si>
    <t>122,500 USD
111,364 Euro</t>
  </si>
  <si>
    <t>137K USD
125K Euro</t>
  </si>
  <si>
    <t>963K USD
875K Euro</t>
  </si>
  <si>
    <t>142k USD
129K Euro</t>
  </si>
  <si>
    <t>1.1Mio USD
1,0 Mio Euro</t>
  </si>
  <si>
    <t>39.600 USD
36,000 Euro</t>
  </si>
  <si>
    <t>32,000 USD
29,091 Euro</t>
  </si>
  <si>
    <t>0,11 USD/pc
0,100 Euro/pc</t>
  </si>
  <si>
    <t>0,061 USD/pc
0,05545 Euro/pc</t>
  </si>
  <si>
    <t>0,081 USD/pc
0,07364 Euro/pc</t>
  </si>
  <si>
    <t>0,15 USD/pc
0,13636 Euro/pc</t>
  </si>
  <si>
    <t>111,300 USD
101,182 Euro</t>
  </si>
  <si>
    <t xml:space="preserve"> 117,500 USD 106,818 Euro</t>
  </si>
  <si>
    <t>New Part</t>
  </si>
  <si>
    <t>SPR6 Programs</t>
  </si>
  <si>
    <t>FF04</t>
  </si>
  <si>
    <t>FF04011</t>
  </si>
  <si>
    <t>SPR6.1 Locking Pawl - LS Upgrade</t>
  </si>
  <si>
    <t>R000R613A</t>
  </si>
  <si>
    <t>Carbosint S.p.a.</t>
  </si>
  <si>
    <t>Daria Wągiel</t>
  </si>
  <si>
    <t>GM C1UC/UL2</t>
  </si>
  <si>
    <t xml:space="preserve">B/2025/00228 110000033859 </t>
  </si>
  <si>
    <t xml:space="preserve">B/2025/00228 110000032254 </t>
  </si>
  <si>
    <t xml:space="preserve">B/2025/00228 110000210691 </t>
  </si>
  <si>
    <t>107k USD
97K Euro</t>
  </si>
  <si>
    <t>842k USD
766K Euro</t>
  </si>
  <si>
    <t>676K Euro</t>
  </si>
  <si>
    <t>4,4 Mio Euro</t>
  </si>
  <si>
    <t>1,5 Mio Euro</t>
  </si>
  <si>
    <t>0,25776 USD/pc
0,23433 Euro/pc</t>
  </si>
  <si>
    <t>0,15195 USD/pc
0,13886 Euro/pc</t>
  </si>
  <si>
    <t>0,12 Euro/pc</t>
  </si>
  <si>
    <t>0,1352 Euro/pc</t>
  </si>
  <si>
    <t>209K USD
190K Euro</t>
  </si>
  <si>
    <t>1,5 Mio USD
1,3 Mio Euro</t>
  </si>
  <si>
    <t>30K USD
27K Euro</t>
  </si>
  <si>
    <t>179K USD
162K Euro</t>
  </si>
  <si>
    <t>Seal</t>
  </si>
  <si>
    <t>33040911B</t>
  </si>
  <si>
    <t>Alba Guerra</t>
  </si>
  <si>
    <t>1,04 Mio EUR</t>
  </si>
  <si>
    <t>3,6Mio EUR</t>
  </si>
  <si>
    <t>0,12925 EUR/pc</t>
  </si>
  <si>
    <t>0,11196 EUR/pc</t>
  </si>
  <si>
    <t>208.350 EUR</t>
  </si>
  <si>
    <t>235.364 EUR</t>
  </si>
  <si>
    <t>AP</t>
  </si>
  <si>
    <t>JAC X2411</t>
  </si>
  <si>
    <t>EL</t>
  </si>
  <si>
    <t>Melisa Bouzo</t>
  </si>
  <si>
    <t>EL02003
ECU Build to Spec</t>
  </si>
  <si>
    <t>B/2025/00355
110000238205</t>
  </si>
  <si>
    <t>R002T475A</t>
  </si>
  <si>
    <t>ECU</t>
  </si>
  <si>
    <t>Taikang Electronics CO.,LTD</t>
  </si>
  <si>
    <t>936K RMB
118K Euro</t>
  </si>
  <si>
    <t>5,5 Mio RMB
701K Euro</t>
  </si>
  <si>
    <t>B/2025/00355
110000033612</t>
  </si>
  <si>
    <t>R002Y814A</t>
  </si>
  <si>
    <t>360K RMB
46K Euro</t>
  </si>
  <si>
    <t>2,1 Mio RMB
270K Euro</t>
  </si>
  <si>
    <t>5 RMB/pc
0,63 Euro/pc</t>
  </si>
  <si>
    <t>85,000 RMB
10,760 Euro</t>
  </si>
  <si>
    <t>13 RMB/pc
1,65 Euro/pc</t>
  </si>
  <si>
    <t>3,17 RMB/pc
0,40 Euro/pc</t>
  </si>
  <si>
    <t>77,000 RMB
9,747 Euro</t>
  </si>
  <si>
    <t>9,21 RMB/pc
1,17 Euro/pc</t>
  </si>
  <si>
    <t>Approved</t>
  </si>
  <si>
    <t>1. To check if AP SDE is confident with Taikang. A lot of effort and support to be expected from AP SDE team. -- SDE Vida
2. Volume commitment to be checked with Sales-- PP Frankie</t>
  </si>
  <si>
    <t>1. GM driven design change, PN change
2. Cheersson will have till 2027 coating line in house</t>
  </si>
  <si>
    <t>1. to check with GM for tooling budget -- PP Mario
2. to summarize MX KTL suppliers and share with CM and Cheersson MX -- PP Sara, Mario
3. to follow up with VAVE opportunity to switch KTL to Cheersson MX inshouse.</t>
  </si>
  <si>
    <t>1. To build competition to Getac, to reduce dependence of Getac, Wontae more for oversea biz.
2. with Getac, we often suffer from huge PPAP delays (experience of up to 12-13 tooling correction loop), additional efforts of engineering and SDE</t>
  </si>
  <si>
    <t>1. to check further with PM about possibility of paying the tool with lumpsum. -- PP Summer, Karo
2. to prepare an overview, pc price without tooling amo, with TCO, validation cost to be considered -- CM Piotr
3. to inform supplier and kickoff tooling activity in KW51-- CM Piotr</t>
  </si>
  <si>
    <t>1. Bundle Case for 3 SWAT cases#
2. complete step out of Heckler</t>
  </si>
  <si>
    <t>1. Current supplier SFS (Europe)
2. Planned SOP timing of Henn MX: Jan 2027. Injection machine would be installed Q2 2026.</t>
  </si>
  <si>
    <t>Conditionally Approved</t>
  </si>
  <si>
    <t>1. Tooling buget aligned with PP, to secure the budget. -- PP Mario 
2. FG requested for Henn MX, on going, pending from FRA team. (Finance guarantee letter from HENN EU rejected by Henn EU). -- CM Alba, Kristina.</t>
  </si>
  <si>
    <t>1. to challenge Jinglei for their current price--CM Sandra, Kristina</t>
  </si>
  <si>
    <t>1. Curren Supplier Jinglei. No capacity for the new program (GM T1XX-2 SUV).
2. Jinglei 4 cav tool, Henn MX 8 cav tool.
3. Impacting all customers (Tesla, Rivian, but GM as the main volume contributor.)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</si>
</sst>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\ [$EUR]"/>
    <numFmt numFmtId="165" formatCode="#,##0\ [$EUR];\-#,##0\ [$EUR]"/>
    <numFmt numFmtId="166" formatCode="#,##0.000\ [$EUR]"/>
  </numFmts>
  <fonts count="8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FFFFFF"/>
      <name val="Arial"/>
      <family val="2"/>
    </font>
    <font>
      <sz val="11"/>
      <color theme="1"/>
      <name val="Calibri"/>
      <family val="2"/>
      <scheme val="minor"/>
    </font>
    <font>
      <sz val="8"/>
      <color rgb="FFFF0000"/>
      <name val="Arial"/>
      <family val="2"/>
    </font>
    <font>
      <sz val="8"/>
      <color theme="1"/>
      <name val="Arial"/>
      <family val="2"/>
    </font>
    <font>
      <b/>
      <sz val="8"/>
      <color rgb="FF00B050"/>
      <name val="Arial"/>
      <family val="2"/>
    </font>
    <font>
      <b/>
      <sz val="8"/>
      <color rgb="FFFFFF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3E11"/>
        <bgColor indexed="64"/>
      </patternFill>
    </fill>
    <fill>
      <patternFill patternType="solid">
        <fgColor rgb="FFF6CECC"/>
        <bgColor indexed="64"/>
      </patternFill>
    </fill>
    <fill>
      <patternFill patternType="solid">
        <fgColor theme="6"/>
        <bgColor indexed="64"/>
      </patternFill>
    </fill>
  </fills>
  <borders count="1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 style="medium">
        <color theme="0"/>
      </left>
      <right style="medium">
        <color rgb="FFFFFFFF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rgb="FFFFFFFF"/>
      </left>
      <right style="medium">
        <color theme="0"/>
      </right>
      <top/>
      <bottom style="medium">
        <color theme="0"/>
      </bottom>
      <diagonal/>
    </border>
    <border>
      <left style="medium">
        <color rgb="FFFFFFFF"/>
      </left>
      <right style="medium">
        <color rgb="FFFFFFFF"/>
      </right>
      <top/>
      <bottom style="medium">
        <color theme="0"/>
      </bottom>
      <diagonal/>
    </border>
    <border>
      <left style="medium">
        <color theme="0"/>
      </left>
      <right style="medium">
        <color rgb="FFFFFFFF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rgb="FFFFFFFF"/>
      </right>
      <top style="medium">
        <color theme="0"/>
      </top>
      <bottom/>
      <diagonal/>
    </border>
    <border>
      <left style="medium">
        <color rgb="FFFFFFFF"/>
      </left>
      <right style="medium">
        <color rgb="FFFFFFFF"/>
      </right>
      <top style="medium">
        <color theme="0"/>
      </top>
      <bottom/>
      <diagonal/>
    </border>
    <border>
      <left style="medium">
        <color rgb="FFFFFFFF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wrapText="1"/>
    </xf>
    <xf numFmtId="0" fontId="1" fillId="3" borderId="3" xfId="0" quotePrefix="1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3" fontId="1" fillId="3" borderId="3" xfId="0" quotePrefix="1" applyNumberFormat="1" applyFont="1" applyFill="1" applyBorder="1" applyAlignment="1">
      <alignment horizontal="left" vertical="center" wrapText="1" readingOrder="1"/>
    </xf>
    <xf numFmtId="0" fontId="2" fillId="4" borderId="1" xfId="0" applyFont="1" applyFill="1" applyBorder="1" applyAlignment="1">
      <alignment horizontal="left" vertical="center" wrapText="1" readingOrder="1"/>
    </xf>
    <xf numFmtId="0" fontId="2" fillId="4" borderId="2" xfId="0" applyFont="1" applyFill="1" applyBorder="1" applyAlignment="1">
      <alignment horizontal="left" vertical="center" wrapText="1" readingOrder="1"/>
    </xf>
    <xf numFmtId="164" fontId="1" fillId="3" borderId="3" xfId="0" quotePrefix="1" applyNumberFormat="1" applyFont="1" applyFill="1" applyBorder="1" applyAlignment="1">
      <alignment horizontal="left" vertical="center" wrapText="1" readingOrder="1"/>
    </xf>
    <xf numFmtId="165" fontId="1" fillId="3" borderId="3" xfId="1" quotePrefix="1" applyNumberFormat="1" applyFont="1" applyFill="1" applyBorder="1" applyAlignment="1">
      <alignment horizontal="left" vertical="center" wrapText="1" readingOrder="1"/>
    </xf>
    <xf numFmtId="164" fontId="4" fillId="3" borderId="3" xfId="0" quotePrefix="1" applyNumberFormat="1" applyFont="1" applyFill="1" applyBorder="1" applyAlignment="1">
      <alignment horizontal="left" vertical="center" wrapText="1" readingOrder="1"/>
    </xf>
    <xf numFmtId="0" fontId="0" fillId="0" borderId="0" xfId="0" applyAlignment="1">
      <alignment horizontal="left"/>
    </xf>
    <xf numFmtId="0" fontId="5" fillId="3" borderId="3" xfId="0" quotePrefix="1" applyFont="1" applyFill="1" applyBorder="1" applyAlignment="1">
      <alignment horizontal="left" vertical="center" wrapText="1" readingOrder="1"/>
    </xf>
    <xf numFmtId="0" fontId="6" fillId="3" borderId="3" xfId="0" quotePrefix="1" applyFont="1" applyFill="1" applyBorder="1" applyAlignment="1">
      <alignment horizontal="center" vertical="center" wrapText="1" readingOrder="1"/>
    </xf>
    <xf numFmtId="164" fontId="0" fillId="0" borderId="0" xfId="0" applyNumberFormat="1"/>
    <xf numFmtId="0" fontId="1" fillId="3" borderId="4" xfId="0" quotePrefix="1" applyFont="1" applyFill="1" applyBorder="1" applyAlignment="1">
      <alignment vertical="center" wrapText="1" readingOrder="1"/>
    </xf>
    <xf numFmtId="0" fontId="1" fillId="3" borderId="3" xfId="0" quotePrefix="1" applyFont="1" applyFill="1" applyBorder="1" applyAlignment="1">
      <alignment horizontal="center" vertical="center" wrapText="1" readingOrder="1"/>
    </xf>
    <xf numFmtId="164" fontId="5" fillId="3" borderId="3" xfId="0" quotePrefix="1" applyNumberFormat="1" applyFont="1" applyFill="1" applyBorder="1" applyAlignment="1">
      <alignment horizontal="left" vertical="center" wrapText="1" readingOrder="1"/>
    </xf>
    <xf numFmtId="165" fontId="5" fillId="3" borderId="3" xfId="1" quotePrefix="1" applyNumberFormat="1" applyFont="1" applyFill="1" applyBorder="1" applyAlignment="1">
      <alignment horizontal="left" vertical="center" wrapText="1" readingOrder="1"/>
    </xf>
    <xf numFmtId="0" fontId="1" fillId="3" borderId="7" xfId="0" quotePrefix="1" applyFont="1" applyFill="1" applyBorder="1" applyAlignment="1">
      <alignment horizontal="center" vertical="center" wrapText="1" readingOrder="1"/>
    </xf>
    <xf numFmtId="0" fontId="1" fillId="3" borderId="6" xfId="0" quotePrefix="1" applyFont="1" applyFill="1" applyBorder="1" applyAlignment="1">
      <alignment horizontal="center" vertical="center" wrapText="1" readingOrder="1"/>
    </xf>
    <xf numFmtId="0" fontId="1" fillId="3" borderId="5" xfId="0" quotePrefix="1" applyFont="1" applyFill="1" applyBorder="1" applyAlignment="1">
      <alignment horizontal="center" vertical="center" wrapText="1" readingOrder="1"/>
    </xf>
    <xf numFmtId="1" fontId="1" fillId="3" borderId="3" xfId="0" quotePrefix="1" applyNumberFormat="1" applyFont="1" applyFill="1" applyBorder="1" applyAlignment="1">
      <alignment horizontal="center" vertical="center" wrapText="1" readingOrder="1"/>
    </xf>
    <xf numFmtId="0" fontId="0" fillId="0" borderId="0" xfId="0" applyFill="1" applyAlignment="1">
      <alignment horizontal="left"/>
    </xf>
    <xf numFmtId="0" fontId="2" fillId="2" borderId="1" xfId="0" applyFont="1" applyFill="1" applyBorder="1" applyAlignment="1">
      <alignment horizontal="center" vertical="center" wrapText="1" readingOrder="1"/>
    </xf>
    <xf numFmtId="0" fontId="1" fillId="3" borderId="12" xfId="0" quotePrefix="1" applyFont="1" applyFill="1" applyBorder="1" applyAlignment="1">
      <alignment horizontal="center" vertical="center" wrapText="1" readingOrder="1"/>
    </xf>
    <xf numFmtId="166" fontId="1" fillId="3" borderId="3" xfId="0" quotePrefix="1" applyNumberFormat="1" applyFont="1" applyFill="1" applyBorder="1" applyAlignment="1">
      <alignment horizontal="left" vertical="center" wrapText="1" readingOrder="1"/>
    </xf>
    <xf numFmtId="0" fontId="1" fillId="3" borderId="13" xfId="0" quotePrefix="1" applyFont="1" applyFill="1" applyBorder="1" applyAlignment="1">
      <alignment horizontal="center" vertical="center" wrapText="1" readingOrder="1"/>
    </xf>
    <xf numFmtId="4" fontId="1" fillId="3" borderId="3" xfId="0" quotePrefix="1" applyNumberFormat="1" applyFont="1" applyFill="1" applyBorder="1" applyAlignment="1">
      <alignment horizontal="center" vertical="center" wrapText="1" readingOrder="1"/>
    </xf>
    <xf numFmtId="0" fontId="7" fillId="3" borderId="4" xfId="0" quotePrefix="1" applyFont="1" applyFill="1" applyBorder="1" applyAlignment="1">
      <alignment horizontal="center" vertical="center" wrapText="1" readingOrder="1"/>
    </xf>
    <xf numFmtId="0" fontId="1" fillId="3" borderId="8" xfId="0" quotePrefix="1" applyFont="1" applyFill="1" applyBorder="1" applyAlignment="1">
      <alignment horizontal="center" vertical="center" wrapText="1" readingOrder="1"/>
    </xf>
    <xf numFmtId="0" fontId="1" fillId="3" borderId="14" xfId="0" quotePrefix="1" applyFont="1" applyFill="1" applyBorder="1" applyAlignment="1">
      <alignment horizontal="center" vertical="center" wrapText="1" readingOrder="1"/>
    </xf>
    <xf numFmtId="0" fontId="1" fillId="3" borderId="4" xfId="0" quotePrefix="1" applyFont="1" applyFill="1" applyBorder="1" applyAlignment="1">
      <alignment horizontal="center" vertical="center" wrapText="1" readingOrder="1"/>
    </xf>
    <xf numFmtId="0" fontId="1" fillId="3" borderId="8" xfId="0" quotePrefix="1" applyFont="1" applyFill="1" applyBorder="1" applyAlignment="1">
      <alignment horizontal="left" vertical="center" wrapText="1" readingOrder="1"/>
    </xf>
    <xf numFmtId="0" fontId="1" fillId="3" borderId="14" xfId="0" quotePrefix="1" applyFont="1" applyFill="1" applyBorder="1" applyAlignment="1">
      <alignment horizontal="left" vertical="center" wrapText="1" readingOrder="1"/>
    </xf>
    <xf numFmtId="0" fontId="1" fillId="3" borderId="4" xfId="0" quotePrefix="1" applyFont="1" applyFill="1" applyBorder="1" applyAlignment="1">
      <alignment horizontal="left" vertical="center" wrapText="1" readingOrder="1"/>
    </xf>
    <xf numFmtId="0" fontId="6" fillId="3" borderId="8" xfId="0" quotePrefix="1" applyFont="1" applyFill="1" applyBorder="1" applyAlignment="1">
      <alignment horizontal="center" vertical="center" wrapText="1" readingOrder="1"/>
    </xf>
    <xf numFmtId="0" fontId="6" fillId="3" borderId="14" xfId="0" quotePrefix="1" applyFont="1" applyFill="1" applyBorder="1" applyAlignment="1">
      <alignment horizontal="center" vertical="center" wrapText="1" readingOrder="1"/>
    </xf>
    <xf numFmtId="0" fontId="6" fillId="3" borderId="4" xfId="0" quotePrefix="1" applyFont="1" applyFill="1" applyBorder="1" applyAlignment="1">
      <alignment horizontal="center" vertical="center" wrapText="1" readingOrder="1"/>
    </xf>
    <xf numFmtId="0" fontId="1" fillId="3" borderId="9" xfId="0" quotePrefix="1" applyFont="1" applyFill="1" applyBorder="1" applyAlignment="1">
      <alignment horizontal="center" vertical="center" wrapText="1" readingOrder="1"/>
    </xf>
    <xf numFmtId="0" fontId="1" fillId="3" borderId="7" xfId="0" quotePrefix="1" applyFont="1" applyFill="1" applyBorder="1" applyAlignment="1">
      <alignment horizontal="center" vertical="center" wrapText="1" readingOrder="1"/>
    </xf>
    <xf numFmtId="0" fontId="1" fillId="3" borderId="10" xfId="0" quotePrefix="1" applyFont="1" applyFill="1" applyBorder="1" applyAlignment="1">
      <alignment horizontal="center" vertical="center" wrapText="1" readingOrder="1"/>
    </xf>
    <xf numFmtId="0" fontId="1" fillId="3" borderId="6" xfId="0" quotePrefix="1" applyFont="1" applyFill="1" applyBorder="1" applyAlignment="1">
      <alignment horizontal="center" vertical="center" wrapText="1" readingOrder="1"/>
    </xf>
    <xf numFmtId="0" fontId="1" fillId="3" borderId="11" xfId="0" quotePrefix="1" applyFont="1" applyFill="1" applyBorder="1" applyAlignment="1">
      <alignment horizontal="center" vertical="center" wrapText="1" readingOrder="1"/>
    </xf>
    <xf numFmtId="0" fontId="1" fillId="3" borderId="5" xfId="0" quotePrefix="1" applyFont="1" applyFill="1" applyBorder="1" applyAlignment="1">
      <alignment horizontal="center" vertical="center" wrapText="1" readingOrder="1"/>
    </xf>
  </cellXfs>
  <cellStyles count="2">
    <cellStyle name="Comma" xfId="1" builtinId="3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42</xdr:row>
      <xdr:rowOff>0</xdr:rowOff>
    </xdr:from>
    <xdr:to>
      <xdr:col>11</xdr:col>
      <xdr:colOff>130349</xdr:colOff>
      <xdr:row>76</xdr:row>
      <xdr:rowOff>111033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8E7FDB4-C7EA-C6EE-A70E-E681EAC46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7600950"/>
          <a:ext cx="9335309" cy="626418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Xiangwei Chen ALF RPSBE1" id="{BA93698A-D40F-410C-9F41-CB4DD885657C}" userId="S::xiangwei.chen@zf-lifetec.com::23759faa-b675-4288-af44-d36df42352bc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6" dT="2025-12-12T16:09:08.58" personId="{BA93698A-D40F-410C-9F41-CB4DD885657C}" id="{B35285CC-4DE7-4426-9CA4-D7E0B4474FC1}">
    <text xml:space="preserve">72328 Euro paid with AMO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1669-4D19-42D8-86BB-E55FDF20445A}">
  <dimension ref="A1:Z36"/>
  <sheetViews>
    <sheetView tabSelected="1" zoomScale="85" zoomScaleNormal="85" workbookViewId="0">
      <selection activeCell="O13" sqref="O13:O14"/>
    </sheetView>
  </sheetViews>
  <sheetFormatPr defaultRowHeight="14.4" x14ac:dyDescent="0.3"/>
  <cols>
    <col min="4" max="4" width="11.21875" customWidth="1"/>
    <col min="5" max="5" width="12.21875" customWidth="1"/>
    <col min="6" max="6" width="20.88671875" customWidth="1"/>
    <col min="7" max="7" width="13" bestFit="1" customWidth="1"/>
    <col min="8" max="8" width="11.77734375" customWidth="1"/>
    <col min="9" max="9" width="13.77734375" customWidth="1"/>
    <col min="10" max="10" width="14.44140625" customWidth="1"/>
    <col min="11" max="11" width="10.21875" customWidth="1"/>
    <col min="13" max="13" width="12" customWidth="1"/>
    <col min="14" max="14" width="13.77734375" customWidth="1"/>
    <col min="15" max="15" width="29.88671875" customWidth="1"/>
    <col min="16" max="16" width="14" customWidth="1"/>
    <col min="17" max="17" width="36.21875" customWidth="1"/>
    <col min="18" max="19" width="12.88671875" customWidth="1"/>
    <col min="20" max="21" width="8.5546875" customWidth="1"/>
    <col min="22" max="22" width="13" customWidth="1"/>
    <col min="23" max="23" width="16" customWidth="1"/>
    <col min="24" max="24" width="13.21875" customWidth="1"/>
    <col min="25" max="25" width="12.21875" customWidth="1"/>
    <col min="26" max="26" width="10.5546875" customWidth="1"/>
  </cols>
  <sheetData>
    <row r="1" spans="1:26" s="1" customFormat="1" ht="42.6" customHeight="1" thickBot="1" x14ac:dyDescent="0.35">
      <c r="A1" s="23" t="s">
        <v>0</v>
      </c>
      <c r="B1" s="23" t="s">
        <v>1</v>
      </c>
      <c r="C1" s="23" t="s">
        <v>2</v>
      </c>
      <c r="D1" s="23" t="s">
        <v>4</v>
      </c>
      <c r="E1" s="23" t="s">
        <v>5</v>
      </c>
      <c r="F1" s="23" t="s">
        <v>15</v>
      </c>
      <c r="G1" s="23" t="s">
        <v>9</v>
      </c>
      <c r="H1" s="23" t="s">
        <v>13</v>
      </c>
      <c r="I1" s="23" t="s">
        <v>10</v>
      </c>
      <c r="J1" s="23" t="s">
        <v>11</v>
      </c>
      <c r="K1" s="23" t="s">
        <v>6</v>
      </c>
      <c r="L1" s="23" t="s">
        <v>7</v>
      </c>
      <c r="M1" s="23" t="s">
        <v>8</v>
      </c>
      <c r="N1" s="23" t="s">
        <v>3</v>
      </c>
      <c r="O1" s="23" t="s">
        <v>25</v>
      </c>
      <c r="P1" s="3" t="s">
        <v>12</v>
      </c>
      <c r="Q1" s="3" t="s">
        <v>14</v>
      </c>
      <c r="R1" s="5" t="s">
        <v>16</v>
      </c>
      <c r="S1" s="5" t="s">
        <v>17</v>
      </c>
      <c r="T1" s="6" t="s">
        <v>18</v>
      </c>
      <c r="U1" s="6" t="s">
        <v>19</v>
      </c>
      <c r="V1" s="6" t="s">
        <v>22</v>
      </c>
      <c r="W1" s="6" t="s">
        <v>20</v>
      </c>
      <c r="X1" s="5" t="s">
        <v>23</v>
      </c>
      <c r="Y1" s="5" t="s">
        <v>21</v>
      </c>
      <c r="Z1" s="5" t="s">
        <v>24</v>
      </c>
    </row>
    <row r="2" spans="1:26" s="1" customFormat="1" ht="48" customHeight="1" thickBot="1" x14ac:dyDescent="0.35">
      <c r="A2" s="29">
        <v>1</v>
      </c>
      <c r="B2" s="38" t="s">
        <v>138</v>
      </c>
      <c r="C2" s="40" t="s">
        <v>26</v>
      </c>
      <c r="D2" s="40" t="s">
        <v>139</v>
      </c>
      <c r="E2" s="40" t="s">
        <v>140</v>
      </c>
      <c r="F2" s="40" t="s">
        <v>142</v>
      </c>
      <c r="G2" s="15" t="s">
        <v>143</v>
      </c>
      <c r="H2" s="42" t="s">
        <v>145</v>
      </c>
      <c r="I2" s="15" t="s">
        <v>144</v>
      </c>
      <c r="J2" s="40" t="s">
        <v>146</v>
      </c>
      <c r="K2" s="42" t="s">
        <v>141</v>
      </c>
      <c r="L2" s="29" t="s">
        <v>75</v>
      </c>
      <c r="M2" s="15" t="s">
        <v>147</v>
      </c>
      <c r="N2" s="15" t="s">
        <v>148</v>
      </c>
      <c r="O2" s="32"/>
      <c r="P2" s="35" t="s">
        <v>159</v>
      </c>
      <c r="Q2" s="32" t="s">
        <v>160</v>
      </c>
      <c r="R2" s="2" t="s">
        <v>155</v>
      </c>
      <c r="S2" s="11" t="s">
        <v>158</v>
      </c>
      <c r="T2" s="4">
        <v>71000</v>
      </c>
      <c r="U2" s="4">
        <v>426000</v>
      </c>
      <c r="V2" s="9">
        <f>(1.17-1.65)*T2</f>
        <v>-34080</v>
      </c>
      <c r="W2" s="8">
        <f>(1.17-1.65)*U2</f>
        <v>-204480</v>
      </c>
      <c r="X2" s="7">
        <v>0</v>
      </c>
      <c r="Y2" s="11" t="s">
        <v>40</v>
      </c>
      <c r="Z2" s="9">
        <v>0</v>
      </c>
    </row>
    <row r="3" spans="1:26" s="1" customFormat="1" ht="49.5" customHeight="1" thickBot="1" x14ac:dyDescent="0.35">
      <c r="A3" s="31"/>
      <c r="B3" s="39"/>
      <c r="C3" s="41"/>
      <c r="D3" s="41"/>
      <c r="E3" s="41"/>
      <c r="F3" s="41"/>
      <c r="G3" s="15" t="s">
        <v>149</v>
      </c>
      <c r="H3" s="43"/>
      <c r="I3" s="15" t="s">
        <v>150</v>
      </c>
      <c r="J3" s="41"/>
      <c r="K3" s="43"/>
      <c r="L3" s="31"/>
      <c r="M3" s="15" t="s">
        <v>151</v>
      </c>
      <c r="N3" s="15" t="s">
        <v>152</v>
      </c>
      <c r="O3" s="34"/>
      <c r="P3" s="37"/>
      <c r="Q3" s="34"/>
      <c r="R3" s="2" t="s">
        <v>153</v>
      </c>
      <c r="S3" s="11" t="s">
        <v>156</v>
      </c>
      <c r="T3" s="4">
        <v>71000</v>
      </c>
      <c r="U3" s="4">
        <v>426000</v>
      </c>
      <c r="V3" s="9">
        <f>(0.4-0.63)*T3</f>
        <v>-16329.999999999998</v>
      </c>
      <c r="W3" s="9">
        <f>(0.4-0.63)*U3</f>
        <v>-97979.999999999985</v>
      </c>
      <c r="X3" s="7" t="s">
        <v>154</v>
      </c>
      <c r="Y3" s="11" t="s">
        <v>157</v>
      </c>
      <c r="Z3" s="9">
        <f>9747-10760</f>
        <v>-1013</v>
      </c>
    </row>
    <row r="4" spans="1:26" s="1" customFormat="1" ht="49.95" customHeight="1" thickBot="1" x14ac:dyDescent="0.35">
      <c r="A4" s="15">
        <v>2</v>
      </c>
      <c r="B4" s="15" t="s">
        <v>28</v>
      </c>
      <c r="C4" s="15" t="s">
        <v>26</v>
      </c>
      <c r="D4" s="15" t="s">
        <v>42</v>
      </c>
      <c r="E4" s="15" t="s">
        <v>43</v>
      </c>
      <c r="F4" s="15" t="s">
        <v>46</v>
      </c>
      <c r="G4" s="15" t="s">
        <v>44</v>
      </c>
      <c r="H4" s="15" t="s">
        <v>47</v>
      </c>
      <c r="I4" s="15" t="s">
        <v>45</v>
      </c>
      <c r="J4" s="15" t="s">
        <v>48</v>
      </c>
      <c r="K4" s="15" t="s">
        <v>49</v>
      </c>
      <c r="L4" s="15" t="s">
        <v>27</v>
      </c>
      <c r="M4" s="15" t="s">
        <v>50</v>
      </c>
      <c r="N4" s="15" t="s">
        <v>51</v>
      </c>
      <c r="O4" s="2"/>
      <c r="P4" s="12" t="s">
        <v>159</v>
      </c>
      <c r="Q4" s="2"/>
      <c r="R4" s="2" t="s">
        <v>52</v>
      </c>
      <c r="S4" s="2" t="s">
        <v>53</v>
      </c>
      <c r="T4" s="4">
        <v>587938</v>
      </c>
      <c r="U4" s="4">
        <v>4703500</v>
      </c>
      <c r="V4" s="9">
        <f>(0.4-0.45)*T4</f>
        <v>-29396.899999999994</v>
      </c>
      <c r="W4" s="9">
        <f>(0.4-0.45)*U4</f>
        <v>-235174.99999999994</v>
      </c>
      <c r="X4" s="2" t="s">
        <v>54</v>
      </c>
      <c r="Y4" s="2" t="s">
        <v>55</v>
      </c>
      <c r="Z4" s="7">
        <f>55182-56363</f>
        <v>-1181</v>
      </c>
    </row>
    <row r="5" spans="1:26" s="1" customFormat="1" ht="64.8" customHeight="1" thickBot="1" x14ac:dyDescent="0.35">
      <c r="A5" s="15">
        <v>3</v>
      </c>
      <c r="B5" s="18" t="s">
        <v>28</v>
      </c>
      <c r="C5" s="19" t="s">
        <v>59</v>
      </c>
      <c r="D5" s="15" t="s">
        <v>60</v>
      </c>
      <c r="E5" s="19" t="s">
        <v>43</v>
      </c>
      <c r="F5" s="19" t="s">
        <v>58</v>
      </c>
      <c r="G5" s="15" t="s">
        <v>56</v>
      </c>
      <c r="H5" s="20" t="s">
        <v>47</v>
      </c>
      <c r="I5" s="15" t="s">
        <v>57</v>
      </c>
      <c r="J5" s="19" t="s">
        <v>61</v>
      </c>
      <c r="K5" s="20" t="s">
        <v>49</v>
      </c>
      <c r="L5" s="15" t="s">
        <v>27</v>
      </c>
      <c r="M5" s="15" t="s">
        <v>62</v>
      </c>
      <c r="N5" s="15" t="s">
        <v>63</v>
      </c>
      <c r="O5" s="14" t="s">
        <v>161</v>
      </c>
      <c r="P5" s="12" t="s">
        <v>159</v>
      </c>
      <c r="Q5" s="14" t="s">
        <v>162</v>
      </c>
      <c r="R5" s="2" t="s">
        <v>64</v>
      </c>
      <c r="S5" s="11" t="s">
        <v>65</v>
      </c>
      <c r="T5" s="4">
        <v>3756668</v>
      </c>
      <c r="U5" s="4">
        <v>33810009</v>
      </c>
      <c r="V5" s="9">
        <f>(0.27595-0.30545)*T5</f>
        <v>-110821.70600000009</v>
      </c>
      <c r="W5" s="9">
        <f>(0.27595-0.30545)*U5</f>
        <v>-997395.26550000091</v>
      </c>
      <c r="X5" s="7">
        <v>0</v>
      </c>
      <c r="Y5" s="11" t="s">
        <v>66</v>
      </c>
      <c r="Z5" s="9">
        <f>152727</f>
        <v>152727</v>
      </c>
    </row>
    <row r="6" spans="1:26" s="1" customFormat="1" ht="94.2" customHeight="1" thickBot="1" x14ac:dyDescent="0.35">
      <c r="A6" s="15">
        <v>4</v>
      </c>
      <c r="B6" s="15" t="s">
        <v>29</v>
      </c>
      <c r="C6" s="15" t="s">
        <v>41</v>
      </c>
      <c r="D6" s="15" t="s">
        <v>30</v>
      </c>
      <c r="E6" s="15" t="s">
        <v>31</v>
      </c>
      <c r="F6" s="15" t="s">
        <v>32</v>
      </c>
      <c r="G6" s="21">
        <v>110000032947</v>
      </c>
      <c r="H6" s="15" t="s">
        <v>33</v>
      </c>
      <c r="I6" s="15" t="s">
        <v>34</v>
      </c>
      <c r="J6" s="15" t="s">
        <v>35</v>
      </c>
      <c r="K6" s="15" t="s">
        <v>36</v>
      </c>
      <c r="L6" s="15" t="s">
        <v>27</v>
      </c>
      <c r="M6" s="15" t="s">
        <v>37</v>
      </c>
      <c r="N6" s="15" t="s">
        <v>120</v>
      </c>
      <c r="O6" s="7" t="s">
        <v>163</v>
      </c>
      <c r="P6" s="12" t="s">
        <v>159</v>
      </c>
      <c r="Q6" s="2" t="s">
        <v>164</v>
      </c>
      <c r="R6" s="2" t="s">
        <v>38</v>
      </c>
      <c r="S6" s="2" t="s">
        <v>39</v>
      </c>
      <c r="T6" s="4">
        <v>273862</v>
      </c>
      <c r="U6" s="4">
        <v>2464762</v>
      </c>
      <c r="V6" s="8">
        <f>(0.73171-0.769)*T6</f>
        <v>-10212.313980000012</v>
      </c>
      <c r="W6" s="8">
        <f>(0.73171-0.769)*U6</f>
        <v>-91910.974980000115</v>
      </c>
      <c r="X6" s="7">
        <v>0</v>
      </c>
      <c r="Y6" s="7" t="s">
        <v>40</v>
      </c>
      <c r="Z6" s="9">
        <v>0</v>
      </c>
    </row>
    <row r="7" spans="1:26" s="1" customFormat="1" ht="49.95" customHeight="1" thickBot="1" x14ac:dyDescent="0.35">
      <c r="A7" s="29">
        <v>5</v>
      </c>
      <c r="B7" s="24" t="s">
        <v>29</v>
      </c>
      <c r="C7" s="24" t="s">
        <v>104</v>
      </c>
      <c r="D7" s="24" t="s">
        <v>105</v>
      </c>
      <c r="E7" s="24" t="s">
        <v>106</v>
      </c>
      <c r="F7" s="24" t="s">
        <v>107</v>
      </c>
      <c r="G7" s="21" t="s">
        <v>115</v>
      </c>
      <c r="H7" s="15" t="s">
        <v>108</v>
      </c>
      <c r="I7" s="15" t="s">
        <v>109</v>
      </c>
      <c r="J7" s="26" t="s">
        <v>110</v>
      </c>
      <c r="K7" s="24" t="s">
        <v>111</v>
      </c>
      <c r="L7" s="30" t="s">
        <v>27</v>
      </c>
      <c r="M7" s="15" t="s">
        <v>118</v>
      </c>
      <c r="N7" s="15" t="s">
        <v>119</v>
      </c>
      <c r="O7" s="32" t="s">
        <v>165</v>
      </c>
      <c r="P7" s="35" t="s">
        <v>159</v>
      </c>
      <c r="Q7" s="29"/>
      <c r="R7" s="25" t="s">
        <v>123</v>
      </c>
      <c r="S7" s="25" t="s">
        <v>124</v>
      </c>
      <c r="T7" s="4">
        <v>4610942</v>
      </c>
      <c r="U7" s="4">
        <v>32276597</v>
      </c>
      <c r="V7" s="9">
        <f>T7*(0.1352-0.12)</f>
        <v>70086.31839999996</v>
      </c>
      <c r="W7" s="9">
        <f>U7*(0.1352-0.12)</f>
        <v>490604.2743999997</v>
      </c>
      <c r="X7" s="7">
        <v>40000</v>
      </c>
      <c r="Y7" s="7">
        <v>34000</v>
      </c>
      <c r="Z7" s="7">
        <f>Y7-X7</f>
        <v>-6000</v>
      </c>
    </row>
    <row r="8" spans="1:26" s="1" customFormat="1" ht="49.95" customHeight="1" thickBot="1" x14ac:dyDescent="0.35">
      <c r="A8" s="30"/>
      <c r="B8" s="24" t="s">
        <v>28</v>
      </c>
      <c r="C8" s="24" t="s">
        <v>104</v>
      </c>
      <c r="D8" s="24" t="s">
        <v>105</v>
      </c>
      <c r="E8" s="24" t="s">
        <v>106</v>
      </c>
      <c r="F8" s="24" t="s">
        <v>107</v>
      </c>
      <c r="G8" s="21" t="s">
        <v>114</v>
      </c>
      <c r="H8" s="15" t="s">
        <v>108</v>
      </c>
      <c r="I8" s="15" t="s">
        <v>109</v>
      </c>
      <c r="J8" s="26" t="s">
        <v>110</v>
      </c>
      <c r="K8" s="24" t="s">
        <v>111</v>
      </c>
      <c r="L8" s="30"/>
      <c r="M8" s="15" t="s">
        <v>125</v>
      </c>
      <c r="N8" s="15" t="s">
        <v>126</v>
      </c>
      <c r="O8" s="33"/>
      <c r="P8" s="36"/>
      <c r="Q8" s="30"/>
      <c r="R8" s="25" t="s">
        <v>121</v>
      </c>
      <c r="S8" s="25" t="s">
        <v>122</v>
      </c>
      <c r="T8" s="4">
        <v>1068308</v>
      </c>
      <c r="U8" s="4">
        <v>9614770</v>
      </c>
      <c r="V8" s="7">
        <f>T8*(0.13886-0.23433)</f>
        <v>-101991.36476</v>
      </c>
      <c r="W8" s="7">
        <f>U8*(0.13886-0.23433)</f>
        <v>-917922.0919</v>
      </c>
      <c r="X8" s="7">
        <v>0</v>
      </c>
      <c r="Y8" s="7">
        <v>0</v>
      </c>
      <c r="Z8" s="7">
        <f t="shared" ref="Z8:Z9" si="0">Y8-X8</f>
        <v>0</v>
      </c>
    </row>
    <row r="9" spans="1:26" s="1" customFormat="1" ht="49.95" customHeight="1" thickBot="1" x14ac:dyDescent="0.35">
      <c r="A9" s="31"/>
      <c r="B9" s="24" t="s">
        <v>28</v>
      </c>
      <c r="C9" s="24" t="s">
        <v>59</v>
      </c>
      <c r="D9" s="24" t="s">
        <v>112</v>
      </c>
      <c r="E9" s="24" t="s">
        <v>106</v>
      </c>
      <c r="F9" s="24" t="s">
        <v>107</v>
      </c>
      <c r="G9" s="21" t="s">
        <v>113</v>
      </c>
      <c r="H9" s="15" t="s">
        <v>108</v>
      </c>
      <c r="I9" s="15" t="s">
        <v>109</v>
      </c>
      <c r="J9" s="26" t="s">
        <v>110</v>
      </c>
      <c r="K9" s="24" t="s">
        <v>111</v>
      </c>
      <c r="L9" s="31"/>
      <c r="M9" s="15" t="s">
        <v>127</v>
      </c>
      <c r="N9" s="15" t="s">
        <v>128</v>
      </c>
      <c r="O9" s="34"/>
      <c r="P9" s="37"/>
      <c r="Q9" s="31"/>
      <c r="R9" s="25">
        <v>0.23433000000000001</v>
      </c>
      <c r="S9" s="25">
        <v>0.13886000000000001</v>
      </c>
      <c r="T9" s="4">
        <v>196000</v>
      </c>
      <c r="U9" s="4">
        <v>1176000</v>
      </c>
      <c r="V9" s="7">
        <f t="shared" ref="V9" si="1">T9*(S9-R9)</f>
        <v>-18712.12</v>
      </c>
      <c r="W9" s="7">
        <f>U9*(S9-R9)</f>
        <v>-112272.72</v>
      </c>
      <c r="X9" s="7">
        <v>0</v>
      </c>
      <c r="Y9" s="7">
        <v>0</v>
      </c>
      <c r="Z9" s="7">
        <f t="shared" si="0"/>
        <v>0</v>
      </c>
    </row>
    <row r="10" spans="1:26" s="1" customFormat="1" ht="62.4" customHeight="1" thickBot="1" x14ac:dyDescent="0.35">
      <c r="A10" s="15">
        <v>6</v>
      </c>
      <c r="B10" s="18" t="s">
        <v>28</v>
      </c>
      <c r="C10" s="19" t="s">
        <v>67</v>
      </c>
      <c r="D10" s="15" t="s">
        <v>60</v>
      </c>
      <c r="E10" s="19" t="s">
        <v>69</v>
      </c>
      <c r="F10" s="19" t="s">
        <v>83</v>
      </c>
      <c r="G10" s="21">
        <v>110000031758</v>
      </c>
      <c r="H10" s="20" t="s">
        <v>129</v>
      </c>
      <c r="I10" s="15" t="s">
        <v>130</v>
      </c>
      <c r="J10" s="19" t="s">
        <v>73</v>
      </c>
      <c r="K10" s="20" t="s">
        <v>131</v>
      </c>
      <c r="L10" s="15" t="s">
        <v>27</v>
      </c>
      <c r="M10" s="27" t="s">
        <v>132</v>
      </c>
      <c r="N10" s="15" t="s">
        <v>133</v>
      </c>
      <c r="O10" s="14" t="s">
        <v>166</v>
      </c>
      <c r="P10" s="28" t="s">
        <v>167</v>
      </c>
      <c r="Q10" s="14" t="s">
        <v>168</v>
      </c>
      <c r="R10" s="2" t="s">
        <v>134</v>
      </c>
      <c r="S10" s="11" t="s">
        <v>135</v>
      </c>
      <c r="T10" s="4">
        <v>6608078</v>
      </c>
      <c r="U10" s="4">
        <v>33040391</v>
      </c>
      <c r="V10" s="9">
        <f>(0.11196-0.12925)*T10</f>
        <v>-114253.66862</v>
      </c>
      <c r="W10" s="9">
        <f>(0.11196-0.12925)*U10</f>
        <v>-571268.36039000005</v>
      </c>
      <c r="X10" s="7" t="s">
        <v>136</v>
      </c>
      <c r="Y10" s="11" t="s">
        <v>137</v>
      </c>
      <c r="Z10" s="9">
        <f>235364-208350</f>
        <v>27014</v>
      </c>
    </row>
    <row r="11" spans="1:26" s="1" customFormat="1" ht="49.95" customHeight="1" thickBot="1" x14ac:dyDescent="0.35">
      <c r="A11" s="29">
        <v>7</v>
      </c>
      <c r="B11" s="38" t="s">
        <v>28</v>
      </c>
      <c r="C11" s="40" t="s">
        <v>67</v>
      </c>
      <c r="D11" s="15" t="s">
        <v>68</v>
      </c>
      <c r="E11" s="40" t="s">
        <v>69</v>
      </c>
      <c r="F11" s="40" t="s">
        <v>83</v>
      </c>
      <c r="G11" s="15" t="s">
        <v>79</v>
      </c>
      <c r="H11" s="42" t="s">
        <v>71</v>
      </c>
      <c r="I11" s="15" t="s">
        <v>80</v>
      </c>
      <c r="J11" s="40" t="s">
        <v>73</v>
      </c>
      <c r="K11" s="42" t="s">
        <v>74</v>
      </c>
      <c r="L11" s="29" t="s">
        <v>27</v>
      </c>
      <c r="M11" s="15" t="s">
        <v>116</v>
      </c>
      <c r="N11" s="15" t="s">
        <v>117</v>
      </c>
      <c r="O11" s="32" t="s">
        <v>170</v>
      </c>
      <c r="P11" s="35" t="s">
        <v>159</v>
      </c>
      <c r="Q11" s="32" t="s">
        <v>169</v>
      </c>
      <c r="R11" s="2" t="s">
        <v>98</v>
      </c>
      <c r="S11" s="11" t="s">
        <v>99</v>
      </c>
      <c r="T11" s="4">
        <v>1534444</v>
      </c>
      <c r="U11" s="4">
        <v>13810000</v>
      </c>
      <c r="V11" s="16">
        <f>(0.07346-0.13636)*T11</f>
        <v>-96516.527600000016</v>
      </c>
      <c r="W11" s="17">
        <f>(0.07346-0.13636)*U11</f>
        <v>-868649.00000000012</v>
      </c>
      <c r="X11" s="16" t="s">
        <v>97</v>
      </c>
      <c r="Y11" s="11" t="s">
        <v>102</v>
      </c>
      <c r="Z11" s="9">
        <f>101182-29091</f>
        <v>72091</v>
      </c>
    </row>
    <row r="12" spans="1:26" s="1" customFormat="1" ht="49.95" customHeight="1" thickBot="1" x14ac:dyDescent="0.35">
      <c r="A12" s="31"/>
      <c r="B12" s="39"/>
      <c r="C12" s="41"/>
      <c r="D12" s="15" t="s">
        <v>68</v>
      </c>
      <c r="E12" s="41"/>
      <c r="F12" s="41"/>
      <c r="G12" s="15" t="s">
        <v>81</v>
      </c>
      <c r="H12" s="43"/>
      <c r="I12" s="15" t="s">
        <v>82</v>
      </c>
      <c r="J12" s="41"/>
      <c r="K12" s="43"/>
      <c r="L12" s="31"/>
      <c r="M12" s="15" t="s">
        <v>94</v>
      </c>
      <c r="N12" s="15" t="s">
        <v>95</v>
      </c>
      <c r="O12" s="34"/>
      <c r="P12" s="37"/>
      <c r="Q12" s="34"/>
      <c r="R12" s="2" t="s">
        <v>101</v>
      </c>
      <c r="S12" s="11" t="s">
        <v>100</v>
      </c>
      <c r="T12" s="4">
        <v>1534444</v>
      </c>
      <c r="U12" s="4">
        <v>13810000</v>
      </c>
      <c r="V12" s="16">
        <f>(0.07364-0.13636)*T12</f>
        <v>-96240.327680000017</v>
      </c>
      <c r="W12" s="16">
        <f>(0.07364-0.13636)*U12</f>
        <v>-866163.20000000019</v>
      </c>
      <c r="X12" s="16" t="s">
        <v>96</v>
      </c>
      <c r="Y12" s="11" t="s">
        <v>103</v>
      </c>
      <c r="Z12" s="9">
        <f>106818-36000</f>
        <v>70818</v>
      </c>
    </row>
    <row r="13" spans="1:26" s="1" customFormat="1" ht="49.95" customHeight="1" thickBot="1" x14ac:dyDescent="0.35">
      <c r="A13" s="29">
        <v>8</v>
      </c>
      <c r="B13" s="38" t="s">
        <v>28</v>
      </c>
      <c r="C13" s="40" t="s">
        <v>67</v>
      </c>
      <c r="D13" s="15" t="s">
        <v>68</v>
      </c>
      <c r="E13" s="40" t="s">
        <v>69</v>
      </c>
      <c r="F13" s="40" t="s">
        <v>83</v>
      </c>
      <c r="G13" s="15" t="s">
        <v>70</v>
      </c>
      <c r="H13" s="42" t="s">
        <v>71</v>
      </c>
      <c r="I13" s="15" t="s">
        <v>72</v>
      </c>
      <c r="J13" s="40" t="s">
        <v>73</v>
      </c>
      <c r="K13" s="42" t="s">
        <v>74</v>
      </c>
      <c r="L13" s="29" t="s">
        <v>75</v>
      </c>
      <c r="M13" s="15" t="s">
        <v>84</v>
      </c>
      <c r="N13" s="15" t="s">
        <v>85</v>
      </c>
      <c r="O13" s="32" t="s">
        <v>76</v>
      </c>
      <c r="P13" s="35" t="s">
        <v>159</v>
      </c>
      <c r="Q13" s="32"/>
      <c r="R13" s="2" t="s">
        <v>89</v>
      </c>
      <c r="S13" s="11" t="s">
        <v>89</v>
      </c>
      <c r="T13" s="4">
        <v>1429983</v>
      </c>
      <c r="U13" s="4">
        <v>10009881</v>
      </c>
      <c r="V13" s="9">
        <f>(0.05-0.05)*T13</f>
        <v>0</v>
      </c>
      <c r="W13" s="9">
        <f>(0.05-0.05)*U13</f>
        <v>0</v>
      </c>
      <c r="X13" s="16" t="s">
        <v>88</v>
      </c>
      <c r="Y13" s="11" t="s">
        <v>90</v>
      </c>
      <c r="Z13" s="9">
        <f>99273-45455</f>
        <v>53818</v>
      </c>
    </row>
    <row r="14" spans="1:26" s="1" customFormat="1" ht="49.95" customHeight="1" thickBot="1" x14ac:dyDescent="0.35">
      <c r="A14" s="31"/>
      <c r="B14" s="39"/>
      <c r="C14" s="41"/>
      <c r="D14" s="15" t="s">
        <v>68</v>
      </c>
      <c r="E14" s="41"/>
      <c r="F14" s="41"/>
      <c r="G14" s="15" t="s">
        <v>77</v>
      </c>
      <c r="H14" s="43"/>
      <c r="I14" s="15" t="s">
        <v>78</v>
      </c>
      <c r="J14" s="41"/>
      <c r="K14" s="43"/>
      <c r="L14" s="31"/>
      <c r="M14" s="15" t="s">
        <v>92</v>
      </c>
      <c r="N14" s="15" t="s">
        <v>93</v>
      </c>
      <c r="O14" s="34"/>
      <c r="P14" s="37"/>
      <c r="Q14" s="34"/>
      <c r="R14" s="2" t="s">
        <v>86</v>
      </c>
      <c r="S14" s="11" t="s">
        <v>87</v>
      </c>
      <c r="T14" s="4">
        <v>1375341</v>
      </c>
      <c r="U14" s="4">
        <v>9627387</v>
      </c>
      <c r="V14" s="9">
        <f>(0.09-0.07)*T14</f>
        <v>27506.819999999985</v>
      </c>
      <c r="W14" s="9">
        <f>(0.09-0.07)*U14</f>
        <v>192547.7399999999</v>
      </c>
      <c r="X14" s="16" t="s">
        <v>88</v>
      </c>
      <c r="Y14" s="11" t="s">
        <v>91</v>
      </c>
      <c r="Z14" s="9">
        <f>111364-45455</f>
        <v>65909</v>
      </c>
    </row>
    <row r="15" spans="1:26" s="1" customFormat="1" ht="42.6" customHeight="1" x14ac:dyDescent="0.3"/>
    <row r="16" spans="1:26" s="1" customFormat="1" ht="42.6" customHeight="1" x14ac:dyDescent="0.3"/>
    <row r="17" s="1" customFormat="1" ht="42.6" customHeight="1" x14ac:dyDescent="0.3"/>
    <row r="18" s="1" customFormat="1" ht="42.6" customHeight="1" x14ac:dyDescent="0.3"/>
    <row r="19" s="1" customFormat="1" ht="42.6" customHeight="1" x14ac:dyDescent="0.3"/>
    <row r="20" s="1" customFormat="1" ht="42.6" customHeight="1" x14ac:dyDescent="0.3"/>
    <row r="21" s="1" customFormat="1" ht="42.6" customHeight="1" x14ac:dyDescent="0.3"/>
    <row r="22" s="1" customFormat="1" ht="42.6" customHeight="1" x14ac:dyDescent="0.3"/>
    <row r="23" s="1" customFormat="1" ht="42.6" customHeight="1" x14ac:dyDescent="0.3"/>
    <row r="24" s="1" customFormat="1" ht="42.6" customHeight="1" x14ac:dyDescent="0.3"/>
    <row r="25" s="1" customFormat="1" ht="42.6" customHeight="1" x14ac:dyDescent="0.3"/>
    <row r="26" s="1" customFormat="1" ht="42.6" customHeight="1" x14ac:dyDescent="0.3"/>
    <row r="27" s="1" customFormat="1" ht="42.6" customHeight="1" x14ac:dyDescent="0.3"/>
    <row r="28" s="1" customFormat="1" ht="42.6" customHeight="1" x14ac:dyDescent="0.3"/>
    <row r="29" s="1" customFormat="1" ht="42.6" customHeight="1" x14ac:dyDescent="0.3"/>
    <row r="30" s="1" customFormat="1" ht="42.6" customHeight="1" x14ac:dyDescent="0.3"/>
    <row r="31" s="1" customFormat="1" ht="42.6" customHeight="1" x14ac:dyDescent="0.3"/>
    <row r="32" s="1" customFormat="1" ht="42.6" customHeight="1" x14ac:dyDescent="0.3"/>
    <row r="33" s="1" customFormat="1" ht="42.6" customHeight="1" x14ac:dyDescent="0.3"/>
    <row r="34" s="1" customFormat="1" ht="42.6" customHeight="1" x14ac:dyDescent="0.3"/>
    <row r="35" s="1" customFormat="1" ht="42.6" customHeight="1" x14ac:dyDescent="0.3"/>
    <row r="36" s="1" customFormat="1" ht="42.6" customHeight="1" x14ac:dyDescent="0.3"/>
  </sheetData>
  <mergeCells count="42">
    <mergeCell ref="P2:P3"/>
    <mergeCell ref="Q2:Q3"/>
    <mergeCell ref="D2:D3"/>
    <mergeCell ref="H2:H3"/>
    <mergeCell ref="J2:J3"/>
    <mergeCell ref="K2:K3"/>
    <mergeCell ref="L2:L3"/>
    <mergeCell ref="O2:O3"/>
    <mergeCell ref="A2:A3"/>
    <mergeCell ref="B2:B3"/>
    <mergeCell ref="C2:C3"/>
    <mergeCell ref="E2:E3"/>
    <mergeCell ref="F2:F3"/>
    <mergeCell ref="Q11:Q12"/>
    <mergeCell ref="A11:A12"/>
    <mergeCell ref="B11:B12"/>
    <mergeCell ref="C11:C12"/>
    <mergeCell ref="E11:E12"/>
    <mergeCell ref="F11:F12"/>
    <mergeCell ref="H11:H12"/>
    <mergeCell ref="J11:J12"/>
    <mergeCell ref="K11:K12"/>
    <mergeCell ref="L11:L12"/>
    <mergeCell ref="O11:O12"/>
    <mergeCell ref="P11:P12"/>
    <mergeCell ref="Q13:Q14"/>
    <mergeCell ref="A13:A14"/>
    <mergeCell ref="B13:B14"/>
    <mergeCell ref="C13:C14"/>
    <mergeCell ref="E13:E14"/>
    <mergeCell ref="F13:F14"/>
    <mergeCell ref="H13:H14"/>
    <mergeCell ref="J13:J14"/>
    <mergeCell ref="K13:K14"/>
    <mergeCell ref="L13:L14"/>
    <mergeCell ref="O13:O14"/>
    <mergeCell ref="P13:P14"/>
    <mergeCell ref="Q7:Q9"/>
    <mergeCell ref="A7:A9"/>
    <mergeCell ref="L7:L9"/>
    <mergeCell ref="O7:O9"/>
    <mergeCell ref="P7:P9"/>
  </mergeCells>
  <conditionalFormatting sqref="V1 V15:V1048576">
    <cfRule type="cellIs" dxfId="1" priority="12" operator="lessThan">
      <formula>0</formula>
    </cfRule>
  </conditionalFormatting>
  <conditionalFormatting sqref="Z1:Z1048576 V2:W14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customProperties>
    <customPr name="_pios_id" r:id="rId2"/>
  </customPropertie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923E2-E772-45E4-AD62-7B7E87054B0C}">
  <dimension ref="B2:C3"/>
  <sheetViews>
    <sheetView workbookViewId="0">
      <selection activeCell="C2" sqref="C2:C3"/>
    </sheetView>
  </sheetViews>
  <sheetFormatPr defaultRowHeight="14.4" x14ac:dyDescent="0.3"/>
  <cols>
    <col min="2" max="2" width="46.21875" customWidth="1"/>
    <col min="3" max="3" width="17" style="10" customWidth="1"/>
  </cols>
  <sheetData>
    <row r="2" spans="2:3" x14ac:dyDescent="0.3">
      <c r="C2" s="22"/>
    </row>
    <row r="3" spans="2:3" x14ac:dyDescent="0.3">
      <c r="B3" s="1"/>
      <c r="C3" s="2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089C3-EA5B-446D-9C19-D7ADD5701EDB}">
  <dimension ref="B3:D5"/>
  <sheetViews>
    <sheetView workbookViewId="0">
      <selection activeCell="B3" sqref="B3:D4"/>
    </sheetView>
  </sheetViews>
  <sheetFormatPr defaultRowHeight="14.4" x14ac:dyDescent="0.3"/>
  <cols>
    <col min="2" max="2" width="37.6640625" bestFit="1" customWidth="1"/>
    <col min="3" max="3" width="7.77734375" bestFit="1" customWidth="1"/>
    <col min="4" max="4" width="14" bestFit="1" customWidth="1"/>
  </cols>
  <sheetData>
    <row r="3" spans="2:4" x14ac:dyDescent="0.3">
      <c r="C3" s="10"/>
      <c r="D3" s="13"/>
    </row>
    <row r="4" spans="2:4" x14ac:dyDescent="0.3">
      <c r="B4" s="1"/>
      <c r="C4" s="10"/>
      <c r="D4" s="13"/>
    </row>
    <row r="5" spans="2:4" x14ac:dyDescent="0.3">
      <c r="C5" s="10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2AE94798D0E7D4487CB84FC9A87565D" ma:contentTypeVersion="10" ma:contentTypeDescription="Ein neues Dokument erstellen." ma:contentTypeScope="" ma:versionID="489a9c820ca95f30f281d2d870c3f154">
  <xsd:schema xmlns:xsd="http://www.w3.org/2001/XMLSchema" xmlns:xs="http://www.w3.org/2001/XMLSchema" xmlns:p="http://schemas.microsoft.com/office/2006/metadata/properties" xmlns:ns2="c58f02bd-e0b7-474b-a2bc-9a19f162f3a8" xmlns:ns3="b7d00205-0ffb-4bc2-b18e-b800942d8fea" targetNamespace="http://schemas.microsoft.com/office/2006/metadata/properties" ma:root="true" ma:fieldsID="8df1e44b885ba372004f019dce495b7b" ns2:_="" ns3:_="">
    <xsd:import namespace="c58f02bd-e0b7-474b-a2bc-9a19f162f3a8"/>
    <xsd:import namespace="b7d00205-0ffb-4bc2-b18e-b800942d8f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f02bd-e0b7-474b-a2bc-9a19f162f3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42c1abb6-7528-48c8-bade-a0efe80568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d00205-0ffb-4bc2-b18e-b800942d8fe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0f941d5-66b0-4dcf-b0f6-17179381c1ce}" ma:internalName="TaxCatchAll" ma:showField="CatchAllData" ma:web="b7d00205-0ffb-4bc2-b18e-b800942d8f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58f02bd-e0b7-474b-a2bc-9a19f162f3a8">
      <Terms xmlns="http://schemas.microsoft.com/office/infopath/2007/PartnerControls"/>
    </lcf76f155ced4ddcb4097134ff3c332f>
    <TaxCatchAll xmlns="b7d00205-0ffb-4bc2-b18e-b800942d8fea" xsi:nil="true"/>
  </documentManagement>
</p:properties>
</file>

<file path=customXml/itemProps1.xml><?xml version="1.0" encoding="utf-8"?>
<ds:datastoreItem xmlns:ds="http://schemas.openxmlformats.org/officeDocument/2006/customXml" ds:itemID="{B4E28790-4132-4300-A1FB-AAA14B713058}"/>
</file>

<file path=customXml/itemProps2.xml><?xml version="1.0" encoding="utf-8"?>
<ds:datastoreItem xmlns:ds="http://schemas.openxmlformats.org/officeDocument/2006/customXml" ds:itemID="{44510F5D-8663-4E5C-9AE0-EE5BB799F77D}"/>
</file>

<file path=customXml/itemProps3.xml><?xml version="1.0" encoding="utf-8"?>
<ds:datastoreItem xmlns:ds="http://schemas.openxmlformats.org/officeDocument/2006/customXml" ds:itemID="{AC4AEACD-41F1-459D-98A0-624D0AB9780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KW51, 2025</vt:lpstr>
      <vt:lpstr>Scorecard</vt:lpstr>
      <vt:lpstr>BPP</vt:lpstr>
    </vt:vector>
  </TitlesOfParts>
  <Company>RVNA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Xiangwei Chen ALF RPSBE1</dc:creator>
  <cp:lastModifiedBy>Xiangwei Chen ALF RPSBE1</cp:lastModifiedBy>
  <cp:lastPrinted>2025-09-03T13:26:17Z</cp:lastPrinted>
  <dcterms:created xsi:type="dcterms:W3CDTF">2025-09-02T13:26:50Z</dcterms:created>
  <dcterms:modified xsi:type="dcterms:W3CDTF">2025-12-17T13:46:58Z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557171-d5a2-4c27-b720-d0ccc7e87f50_Enabled">
    <vt:lpwstr>true</vt:lpwstr>
  </property>
  <property fmtid="{D5CDD505-2E9C-101B-9397-08002B2CF9AE}" pid="3" name="MSIP_Label_1b557171-d5a2-4c27-b720-d0ccc7e87f50_SetDate">
    <vt:lpwstr>2025-09-02T13:33:29Z</vt:lpwstr>
  </property>
  <property fmtid="{D5CDD505-2E9C-101B-9397-08002B2CF9AE}" pid="4" name="MSIP_Label_1b557171-d5a2-4c27-b720-d0ccc7e87f50_Method">
    <vt:lpwstr>Privileged</vt:lpwstr>
  </property>
  <property fmtid="{D5CDD505-2E9C-101B-9397-08002B2CF9AE}" pid="5" name="MSIP_Label_1b557171-d5a2-4c27-b720-d0ccc7e87f50_Name">
    <vt:lpwstr>RVNA Confidential Sub_2</vt:lpwstr>
  </property>
  <property fmtid="{D5CDD505-2E9C-101B-9397-08002B2CF9AE}" pid="6" name="MSIP_Label_1b557171-d5a2-4c27-b720-d0ccc7e87f50_SiteId">
    <vt:lpwstr>87f9dc52-94b9-4266-8431-8be91e1f699c</vt:lpwstr>
  </property>
  <property fmtid="{D5CDD505-2E9C-101B-9397-08002B2CF9AE}" pid="7" name="MSIP_Label_1b557171-d5a2-4c27-b720-d0ccc7e87f50_ActionId">
    <vt:lpwstr>9560bc8f-fcd9-47ac-b9f2-f7340a6dea54</vt:lpwstr>
  </property>
  <property fmtid="{D5CDD505-2E9C-101B-9397-08002B2CF9AE}" pid="8" name="MSIP_Label_1b557171-d5a2-4c27-b720-d0ccc7e87f50_ContentBits">
    <vt:lpwstr>1</vt:lpwstr>
  </property>
  <property fmtid="{D5CDD505-2E9C-101B-9397-08002B2CF9AE}" pid="9" name="CustomUiType">
    <vt:lpwstr>2</vt:lpwstr>
  </property>
  <property fmtid="{D5CDD505-2E9C-101B-9397-08002B2CF9AE}" pid="10" name="MediaServiceImageTags">
    <vt:lpwstr/>
  </property>
  <property fmtid="{D5CDD505-2E9C-101B-9397-08002B2CF9AE}" pid="11" name="ContentTypeId">
    <vt:lpwstr>0x010100D2AE94798D0E7D4487CB84FC9A87565D</vt:lpwstr>
  </property>
  <property fmtid="{D5CDD505-2E9C-101B-9397-08002B2CF9AE}" pid="12" name="_SourceUrl">
    <vt:lpwstr/>
  </property>
  <property fmtid="{D5CDD505-2E9C-101B-9397-08002B2CF9AE}" pid="13" name="_SharedFileIndex">
    <vt:lpwstr/>
  </property>
  <property fmtid="{D5CDD505-2E9C-101B-9397-08002B2CF9AE}" pid="14" name="ComplianceAssetId">
    <vt:lpwstr/>
  </property>
  <property fmtid="{D5CDD505-2E9C-101B-9397-08002B2CF9AE}" pid="15" name="_ExtendedDescription">
    <vt:lpwstr/>
  </property>
  <property fmtid="{D5CDD505-2E9C-101B-9397-08002B2CF9AE}" pid="16" name="_activity">
    <vt:lpwstr>{"FileActivityType":"6","FileActivityTimeStamp":"2025-12-12T16:09:08.807Z","FileActivityUsersOnPage":[{"DisplayName":"Xiangwei Chen ALF RPSBE1","Id":"xiangwei.chen@zf-lifetec.com"}],"FileActivityNavigationId":null}</vt:lpwstr>
  </property>
  <property fmtid="{D5CDD505-2E9C-101B-9397-08002B2CF9AE}" pid="17" name="TriggerFlowInfo">
    <vt:lpwstr/>
  </property>
</Properties>
</file>