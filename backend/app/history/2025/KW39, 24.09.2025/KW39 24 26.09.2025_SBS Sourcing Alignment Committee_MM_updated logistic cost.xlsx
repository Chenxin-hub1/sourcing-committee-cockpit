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ssivesafety-my.sharepoint.com/personal/xiangwei_chen_zf-lifetec_com/Documents/Program Purchasing RB/01. Sourcing/Sourcing Alignment Committee/KW39, 24.09.2025/"/>
    </mc:Choice>
  </mc:AlternateContent>
  <xr:revisionPtr revIDLastSave="0" documentId="8_{1B361A26-FADB-42E2-9ECF-B47E30E446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W39, 2025" sheetId="4" r:id="rId1"/>
  </sheets>
  <calcPr calcId="191029" concurrentManualCount="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4" l="1"/>
  <c r="Q4" i="4"/>
  <c r="Y4" i="4"/>
  <c r="Y3" i="4"/>
  <c r="V3" i="4"/>
  <c r="U3" i="4"/>
  <c r="V4" i="4"/>
  <c r="U4" i="4"/>
  <c r="V2" i="4"/>
  <c r="U2" i="4"/>
  <c r="Y2" i="4" l="1"/>
</calcChain>
</file>

<file path=xl/sharedStrings.xml><?xml version="1.0" encoding="utf-8"?>
<sst xmlns="http://schemas.openxmlformats.org/spreadsheetml/2006/main" count="65" uniqueCount="58">
  <si>
    <t>#</t>
  </si>
  <si>
    <t>Region</t>
  </si>
  <si>
    <t>Type</t>
  </si>
  <si>
    <t xml:space="preserve">LT Spend </t>
  </si>
  <si>
    <t>Project/ Product</t>
  </si>
  <si>
    <t>Commodity</t>
  </si>
  <si>
    <t>Presenter</t>
  </si>
  <si>
    <t>Decision Level</t>
  </si>
  <si>
    <t>Peak Year Spend</t>
  </si>
  <si>
    <t>SWAT ID / Bundle ID</t>
  </si>
  <si>
    <t>PN</t>
  </si>
  <si>
    <t>Recommended Supplier (s)</t>
  </si>
  <si>
    <t xml:space="preserve">Sourcing Decision </t>
  </si>
  <si>
    <t>Part Description</t>
  </si>
  <si>
    <t>Notes/Task/ Resp./ Due Date</t>
  </si>
  <si>
    <t>Parent PF Code</t>
  </si>
  <si>
    <t>CQA PC PRICE</t>
  </si>
  <si>
    <t>Rec. Supplier Landed</t>
  </si>
  <si>
    <t>Average Volume</t>
  </si>
  <si>
    <t>LT volume</t>
  </si>
  <si>
    <t>LT saving</t>
  </si>
  <si>
    <t xml:space="preserve">Rec. Supplier Tooling </t>
  </si>
  <si>
    <t>Average Year Saving vs CQA</t>
  </si>
  <si>
    <t>CQA Tooling</t>
  </si>
  <si>
    <t>Tooling Saving vs CQA</t>
  </si>
  <si>
    <t>NA</t>
  </si>
  <si>
    <t>NEW</t>
  </si>
  <si>
    <t>MI01003</t>
  </si>
  <si>
    <t>Pyro MGG</t>
  </si>
  <si>
    <t>Micro Gas Generator</t>
  </si>
  <si>
    <t>Kayaku Safety Systems Mexico</t>
  </si>
  <si>
    <t>Bianca Roman</t>
  </si>
  <si>
    <t>L2</t>
  </si>
  <si>
    <t>EU</t>
  </si>
  <si>
    <t>CO GCS</t>
  </si>
  <si>
    <t>BMW NCAR + G5X + RR4x</t>
  </si>
  <si>
    <t>LATCHING CAM</t>
  </si>
  <si>
    <t>34334071C</t>
  </si>
  <si>
    <t>110000032657</t>
  </si>
  <si>
    <t>CA04003</t>
  </si>
  <si>
    <t>Casting</t>
  </si>
  <si>
    <t>Getac China</t>
  </si>
  <si>
    <t>Piotr Fręchowicz</t>
  </si>
  <si>
    <t>270K Euro</t>
  </si>
  <si>
    <t>2,1Mio Euro</t>
  </si>
  <si>
    <t>110000032607
B/2025/00234</t>
  </si>
  <si>
    <t>110000031361
B/2025/00234</t>
  </si>
  <si>
    <t>Ignition Unit: R001G079A(R003R462A)</t>
  </si>
  <si>
    <t>380K USD</t>
  </si>
  <si>
    <t>2,3 Mio USD</t>
  </si>
  <si>
    <t>Propellant Cup: R003C250A (R003R123A)</t>
  </si>
  <si>
    <t>SPR6.1 MGG
GM T1XX-2</t>
  </si>
  <si>
    <t>7,0 Mio USD</t>
  </si>
  <si>
    <t>848K USD</t>
  </si>
  <si>
    <t>Approved</t>
  </si>
  <si>
    <t>1. Complete official drawing creation in Windchill and handover to CP&amp;PP – Eng, CW41</t>
  </si>
  <si>
    <t>2. Upload engineering data onto system, release BTW in the PSTR, and complete SWAT case on the system – SDE &amp; CP, CW42.</t>
  </si>
  <si>
    <t xml:space="preserve">1. To double check about logistic cost - SCM Anna S. CW 40.
2. To check if there is further potential to improve packaging concept  - SCM Anna S. CW 40.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</si>
</sst>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€-2]\ * #,##0.00_);_([$€-2]\ * \(#,##0.00\);_([$€-2]\ * &quot;-&quot;??_);_(@_)"/>
    <numFmt numFmtId="165" formatCode="[$$-409]#,##0.00"/>
    <numFmt numFmtId="166" formatCode="_([$€-2]\ * #,##0.0000_);_([$€-2]\ * \(#,##0.0000\);_([$€-2]\ * &quot;-&quot;??_);_(@_)"/>
    <numFmt numFmtId="167" formatCode="[$$-409]#,##0.0000"/>
  </numFmts>
  <fonts count="4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8"/>
      <color rgb="FFFFFFFF"/>
      <name val="Arial"/>
      <family val="2"/>
    </font>
    <font>
      <sz val="8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3E11"/>
        <bgColor indexed="64"/>
      </patternFill>
    </fill>
    <fill>
      <patternFill patternType="solid">
        <fgColor rgb="FFF6CECC"/>
        <bgColor indexed="64"/>
      </patternFill>
    </fill>
    <fill>
      <patternFill patternType="solid">
        <fgColor theme="6"/>
        <bgColor indexed="64"/>
      </patternFill>
    </fill>
  </fills>
  <borders count="12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  <border>
      <left style="medium">
        <color theme="0"/>
      </left>
      <right style="medium">
        <color rgb="FFFFFFFF"/>
      </right>
      <top style="medium">
        <color theme="0"/>
      </top>
      <bottom style="medium">
        <color theme="0"/>
      </bottom>
      <diagonal/>
    </border>
    <border>
      <left style="medium">
        <color rgb="FFFFFFFF"/>
      </left>
      <right style="medium">
        <color theme="0"/>
      </right>
      <top style="medium">
        <color theme="0"/>
      </top>
      <bottom/>
      <diagonal/>
    </border>
    <border>
      <left style="medium">
        <color rgb="FFFFFFFF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rgb="FFFFFFFF"/>
      </right>
      <top style="medium">
        <color theme="0"/>
      </top>
      <bottom/>
      <diagonal/>
    </border>
    <border>
      <left style="medium">
        <color theme="0"/>
      </left>
      <right style="medium">
        <color rgb="FFFFFFFF"/>
      </right>
      <top/>
      <bottom style="medium">
        <color theme="0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wrapText="1"/>
    </xf>
    <xf numFmtId="0" fontId="1" fillId="3" borderId="3" xfId="0" quotePrefix="1" applyFont="1" applyFill="1" applyBorder="1" applyAlignment="1">
      <alignment horizontal="left" vertical="center" wrapText="1" readingOrder="1"/>
    </xf>
    <xf numFmtId="0" fontId="2" fillId="2" borderId="1" xfId="0" applyFont="1" applyFill="1" applyBorder="1" applyAlignment="1">
      <alignment vertical="center" wrapText="1" readingOrder="1"/>
    </xf>
    <xf numFmtId="0" fontId="2" fillId="4" borderId="1" xfId="0" applyFont="1" applyFill="1" applyBorder="1" applyAlignment="1">
      <alignment horizontal="left" vertical="center" wrapText="1" readingOrder="1"/>
    </xf>
    <xf numFmtId="0" fontId="2" fillId="4" borderId="2" xfId="0" applyFont="1" applyFill="1" applyBorder="1" applyAlignment="1">
      <alignment horizontal="left" vertical="center" wrapText="1" readingOrder="1"/>
    </xf>
    <xf numFmtId="1" fontId="1" fillId="3" borderId="3" xfId="0" quotePrefix="1" applyNumberFormat="1" applyFont="1" applyFill="1" applyBorder="1" applyAlignment="1">
      <alignment horizontal="left" vertical="center" wrapText="1" readingOrder="1"/>
    </xf>
    <xf numFmtId="164" fontId="1" fillId="3" borderId="3" xfId="0" quotePrefix="1" applyNumberFormat="1" applyFont="1" applyFill="1" applyBorder="1" applyAlignment="1">
      <alignment horizontal="left" vertical="center" wrapText="1" readingOrder="1"/>
    </xf>
    <xf numFmtId="164" fontId="3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3" xfId="0" quotePrefix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166" fontId="1" fillId="3" borderId="3" xfId="0" quotePrefix="1" applyNumberFormat="1" applyFont="1" applyFill="1" applyBorder="1" applyAlignment="1">
      <alignment horizontal="left" vertical="center" wrapText="1" readingOrder="1"/>
    </xf>
    <xf numFmtId="3" fontId="1" fillId="3" borderId="3" xfId="0" quotePrefix="1" applyNumberFormat="1" applyFont="1" applyFill="1" applyBorder="1" applyAlignment="1">
      <alignment horizontal="right" vertical="center" wrapText="1" readingOrder="1"/>
    </xf>
    <xf numFmtId="167" fontId="1" fillId="3" borderId="3" xfId="0" quotePrefix="1" applyNumberFormat="1" applyFont="1" applyFill="1" applyBorder="1" applyAlignment="1">
      <alignment horizontal="left" vertical="center" wrapText="1" readingOrder="1"/>
    </xf>
    <xf numFmtId="165" fontId="1" fillId="3" borderId="3" xfId="0" quotePrefix="1" applyNumberFormat="1" applyFont="1" applyFill="1" applyBorder="1" applyAlignment="1">
      <alignment horizontal="left" vertical="center" wrapText="1" readingOrder="1"/>
    </xf>
    <xf numFmtId="0" fontId="1" fillId="3" borderId="11" xfId="0" applyFont="1" applyFill="1" applyBorder="1" applyAlignment="1">
      <alignment horizontal="left" vertical="center" wrapText="1" indent="1"/>
    </xf>
    <xf numFmtId="0" fontId="1" fillId="3" borderId="10" xfId="0" applyFont="1" applyFill="1" applyBorder="1" applyAlignment="1">
      <alignment horizontal="left" vertical="center" wrapText="1" indent="1"/>
    </xf>
    <xf numFmtId="0" fontId="1" fillId="3" borderId="3" xfId="0" quotePrefix="1" applyFont="1" applyFill="1" applyBorder="1" applyAlignment="1">
      <alignment horizontal="left" vertical="center" wrapText="1" indent="1" readingOrder="1"/>
    </xf>
    <xf numFmtId="0" fontId="1" fillId="3" borderId="6" xfId="0" quotePrefix="1" applyFont="1" applyFill="1" applyBorder="1" applyAlignment="1">
      <alignment horizontal="center" vertical="center" wrapText="1" readingOrder="1"/>
    </xf>
    <xf numFmtId="0" fontId="1" fillId="3" borderId="7" xfId="0" quotePrefix="1" applyFont="1" applyFill="1" applyBorder="1" applyAlignment="1">
      <alignment horizontal="center" vertical="center" wrapText="1" readingOrder="1"/>
    </xf>
    <xf numFmtId="0" fontId="1" fillId="3" borderId="8" xfId="0" quotePrefix="1" applyFont="1" applyFill="1" applyBorder="1" applyAlignment="1">
      <alignment horizontal="center" vertical="center" wrapText="1" readingOrder="1"/>
    </xf>
    <xf numFmtId="0" fontId="1" fillId="3" borderId="9" xfId="0" quotePrefix="1" applyFont="1" applyFill="1" applyBorder="1" applyAlignment="1">
      <alignment horizontal="center" vertical="center" wrapText="1" readingOrder="1"/>
    </xf>
    <xf numFmtId="0" fontId="1" fillId="3" borderId="4" xfId="0" quotePrefix="1" applyFont="1" applyFill="1" applyBorder="1" applyAlignment="1">
      <alignment horizontal="center" vertical="center" wrapText="1" readingOrder="1"/>
    </xf>
    <xf numFmtId="0" fontId="1" fillId="3" borderId="5" xfId="0" quotePrefix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B1669-4D19-42D8-86BB-E55FDF20445A}">
  <dimension ref="A1:Y34"/>
  <sheetViews>
    <sheetView tabSelected="1" topLeftCell="K1" zoomScaleNormal="100" workbookViewId="0">
      <selection activeCell="R3" sqref="R3"/>
    </sheetView>
  </sheetViews>
  <sheetFormatPr defaultRowHeight="14.5" x14ac:dyDescent="0.35"/>
  <cols>
    <col min="1" max="3" width="8.7265625" style="12"/>
    <col min="4" max="4" width="10.81640625" style="12" customWidth="1"/>
    <col min="5" max="5" width="8.7265625" style="12"/>
    <col min="6" max="6" width="11.08984375" style="12" customWidth="1"/>
    <col min="7" max="7" width="12.453125" customWidth="1"/>
    <col min="8" max="8" width="10.90625" customWidth="1"/>
    <col min="9" max="9" width="13.81640625" customWidth="1"/>
    <col min="10" max="10" width="14.36328125" customWidth="1"/>
    <col min="11" max="11" width="10.1796875" customWidth="1"/>
    <col min="13" max="13" width="12" customWidth="1"/>
    <col min="14" max="14" width="10.1796875" customWidth="1"/>
    <col min="15" max="15" width="10" bestFit="1" customWidth="1"/>
    <col min="16" max="16" width="30.453125" customWidth="1"/>
    <col min="17" max="20" width="8.6328125" customWidth="1"/>
    <col min="21" max="21" width="13" customWidth="1"/>
    <col min="22" max="22" width="15.1796875" customWidth="1"/>
    <col min="23" max="23" width="8.6328125" customWidth="1"/>
    <col min="24" max="24" width="10.1796875" customWidth="1"/>
    <col min="25" max="25" width="10.54296875" customWidth="1"/>
  </cols>
  <sheetData>
    <row r="1" spans="1:25" s="1" customFormat="1" ht="42.5" customHeight="1" thickBot="1" x14ac:dyDescent="0.4">
      <c r="A1" s="10" t="s">
        <v>0</v>
      </c>
      <c r="B1" s="10" t="s">
        <v>1</v>
      </c>
      <c r="C1" s="10" t="s">
        <v>2</v>
      </c>
      <c r="D1" s="10" t="s">
        <v>4</v>
      </c>
      <c r="E1" s="10" t="s">
        <v>5</v>
      </c>
      <c r="F1" s="10" t="s">
        <v>15</v>
      </c>
      <c r="G1" s="3" t="s">
        <v>9</v>
      </c>
      <c r="H1" s="3" t="s">
        <v>13</v>
      </c>
      <c r="I1" s="3" t="s">
        <v>10</v>
      </c>
      <c r="J1" s="3" t="s">
        <v>11</v>
      </c>
      <c r="K1" s="3" t="s">
        <v>6</v>
      </c>
      <c r="L1" s="3" t="s">
        <v>7</v>
      </c>
      <c r="M1" s="3" t="s">
        <v>8</v>
      </c>
      <c r="N1" s="3" t="s">
        <v>3</v>
      </c>
      <c r="O1" s="3" t="s">
        <v>12</v>
      </c>
      <c r="P1" s="3" t="s">
        <v>14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22</v>
      </c>
      <c r="V1" s="5" t="s">
        <v>20</v>
      </c>
      <c r="W1" s="4" t="s">
        <v>23</v>
      </c>
      <c r="X1" s="4" t="s">
        <v>21</v>
      </c>
      <c r="Y1" s="4" t="s">
        <v>24</v>
      </c>
    </row>
    <row r="2" spans="1:25" s="1" customFormat="1" ht="62" customHeight="1" thickBot="1" x14ac:dyDescent="0.4">
      <c r="A2" s="9">
        <v>1</v>
      </c>
      <c r="B2" s="9" t="s">
        <v>33</v>
      </c>
      <c r="C2" s="9" t="s">
        <v>34</v>
      </c>
      <c r="D2" s="9" t="s">
        <v>35</v>
      </c>
      <c r="E2" s="9" t="s">
        <v>40</v>
      </c>
      <c r="F2" s="9" t="s">
        <v>39</v>
      </c>
      <c r="G2" s="2" t="s">
        <v>38</v>
      </c>
      <c r="H2" s="2" t="s">
        <v>36</v>
      </c>
      <c r="I2" s="2" t="s">
        <v>37</v>
      </c>
      <c r="J2" s="2" t="s">
        <v>41</v>
      </c>
      <c r="K2" s="2" t="s">
        <v>42</v>
      </c>
      <c r="L2" s="2" t="s">
        <v>32</v>
      </c>
      <c r="M2" s="2" t="s">
        <v>43</v>
      </c>
      <c r="N2" s="2" t="s">
        <v>44</v>
      </c>
      <c r="O2" s="2" t="s">
        <v>54</v>
      </c>
      <c r="P2" s="19" t="s">
        <v>57</v>
      </c>
      <c r="Q2" s="13">
        <v>0.24249999999999999</v>
      </c>
      <c r="R2" s="13">
        <v>0.24390000000000001</v>
      </c>
      <c r="S2" s="14">
        <v>717364</v>
      </c>
      <c r="T2" s="14">
        <v>7891001</v>
      </c>
      <c r="U2" s="8">
        <f>(R2-Q2)*S2</f>
        <v>1004.3096000000088</v>
      </c>
      <c r="V2" s="8">
        <f>(R2-Q2)*T2</f>
        <v>11047.401400000097</v>
      </c>
      <c r="W2" s="7">
        <v>0</v>
      </c>
      <c r="X2" s="7">
        <v>0</v>
      </c>
      <c r="Y2" s="7">
        <f>W2-X2</f>
        <v>0</v>
      </c>
    </row>
    <row r="3" spans="1:25" s="1" customFormat="1" ht="46.25" customHeight="1" thickBot="1" x14ac:dyDescent="0.4">
      <c r="A3" s="22">
        <v>2</v>
      </c>
      <c r="B3" s="24" t="s">
        <v>25</v>
      </c>
      <c r="C3" s="20" t="s">
        <v>26</v>
      </c>
      <c r="D3" s="20" t="s">
        <v>51</v>
      </c>
      <c r="E3" s="20" t="s">
        <v>28</v>
      </c>
      <c r="F3" s="20" t="s">
        <v>27</v>
      </c>
      <c r="G3" s="2" t="s">
        <v>45</v>
      </c>
      <c r="H3" s="2" t="s">
        <v>29</v>
      </c>
      <c r="I3" s="2" t="s">
        <v>50</v>
      </c>
      <c r="J3" s="2" t="s">
        <v>30</v>
      </c>
      <c r="K3" s="2" t="s">
        <v>31</v>
      </c>
      <c r="L3" s="2" t="s">
        <v>32</v>
      </c>
      <c r="M3" s="2" t="s">
        <v>53</v>
      </c>
      <c r="N3" s="2" t="s">
        <v>52</v>
      </c>
      <c r="O3" s="2" t="s">
        <v>54</v>
      </c>
      <c r="P3" s="17" t="s">
        <v>55</v>
      </c>
      <c r="Q3" s="15">
        <f>1.3416</f>
        <v>1.3415999999999999</v>
      </c>
      <c r="R3" s="15">
        <v>1.2438</v>
      </c>
      <c r="S3" s="14">
        <v>625121</v>
      </c>
      <c r="T3" s="14">
        <v>5626088</v>
      </c>
      <c r="U3" s="8">
        <f>(R3-Q3)*S3</f>
        <v>-61136.833799999928</v>
      </c>
      <c r="V3" s="8">
        <f>(R3-Q3)*T3</f>
        <v>-550231.4063999994</v>
      </c>
      <c r="W3" s="16">
        <v>0</v>
      </c>
      <c r="X3" s="16">
        <v>0</v>
      </c>
      <c r="Y3" s="16">
        <f t="shared" ref="Y3:Y4" si="0">W3-X3</f>
        <v>0</v>
      </c>
    </row>
    <row r="4" spans="1:25" s="1" customFormat="1" ht="46.25" customHeight="1" thickBot="1" x14ac:dyDescent="0.4">
      <c r="A4" s="23"/>
      <c r="B4" s="25"/>
      <c r="C4" s="21"/>
      <c r="D4" s="21"/>
      <c r="E4" s="21"/>
      <c r="F4" s="21"/>
      <c r="G4" s="2" t="s">
        <v>46</v>
      </c>
      <c r="H4" s="2" t="s">
        <v>29</v>
      </c>
      <c r="I4" s="2" t="s">
        <v>47</v>
      </c>
      <c r="J4" s="2" t="s">
        <v>30</v>
      </c>
      <c r="K4" s="2" t="s">
        <v>31</v>
      </c>
      <c r="L4" s="2" t="s">
        <v>32</v>
      </c>
      <c r="M4" s="2" t="s">
        <v>48</v>
      </c>
      <c r="N4" s="2" t="s">
        <v>49</v>
      </c>
      <c r="O4" s="2" t="s">
        <v>54</v>
      </c>
      <c r="P4" s="18" t="s">
        <v>56</v>
      </c>
      <c r="Q4" s="15">
        <f>1.3416</f>
        <v>1.3415999999999999</v>
      </c>
      <c r="R4" s="15">
        <v>1.2438</v>
      </c>
      <c r="S4" s="14">
        <v>228510</v>
      </c>
      <c r="T4" s="14">
        <v>1828078</v>
      </c>
      <c r="U4" s="8">
        <f>(R4-Q4)*S4</f>
        <v>-22348.277999999973</v>
      </c>
      <c r="V4" s="8">
        <f>(R4-Q4)*T4</f>
        <v>-178786.02839999981</v>
      </c>
      <c r="W4" s="16">
        <v>0</v>
      </c>
      <c r="X4" s="16">
        <v>0</v>
      </c>
      <c r="Y4" s="16">
        <f t="shared" si="0"/>
        <v>0</v>
      </c>
    </row>
    <row r="5" spans="1:25" s="1" customFormat="1" ht="44" customHeight="1" thickBot="1" x14ac:dyDescent="0.4">
      <c r="A5" s="9"/>
      <c r="B5" s="9"/>
      <c r="C5" s="9"/>
      <c r="D5" s="9"/>
      <c r="E5" s="9"/>
      <c r="F5" s="9"/>
      <c r="G5" s="6"/>
      <c r="H5" s="2"/>
      <c r="I5" s="2"/>
      <c r="J5" s="2"/>
      <c r="K5" s="2"/>
      <c r="L5" s="2"/>
      <c r="M5" s="2"/>
      <c r="N5" s="2"/>
      <c r="O5" s="2"/>
      <c r="P5" s="2"/>
      <c r="Q5" s="15"/>
      <c r="R5" s="15"/>
      <c r="S5" s="14"/>
      <c r="T5" s="14"/>
      <c r="U5" s="8"/>
      <c r="V5" s="8"/>
      <c r="W5" s="2"/>
      <c r="X5" s="2"/>
      <c r="Y5" s="8"/>
    </row>
    <row r="6" spans="1:25" s="1" customFormat="1" ht="44" customHeight="1" thickBot="1" x14ac:dyDescent="0.4">
      <c r="A6" s="9"/>
      <c r="B6" s="9"/>
      <c r="C6" s="9"/>
      <c r="D6" s="9"/>
      <c r="E6" s="9"/>
      <c r="F6" s="9"/>
      <c r="G6" s="6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2"/>
      <c r="T6" s="2"/>
      <c r="U6" s="8"/>
      <c r="V6" s="8"/>
      <c r="W6" s="2"/>
      <c r="X6" s="2"/>
      <c r="Y6" s="8"/>
    </row>
    <row r="7" spans="1:25" s="1" customFormat="1" ht="40" customHeight="1" thickBot="1" x14ac:dyDescent="0.4">
      <c r="A7" s="9"/>
      <c r="B7" s="9"/>
      <c r="C7" s="9"/>
      <c r="D7" s="9"/>
      <c r="E7" s="9"/>
      <c r="F7" s="9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s="1" customFormat="1" ht="40" customHeight="1" thickBot="1" x14ac:dyDescent="0.4">
      <c r="A8" s="9"/>
      <c r="B8" s="9"/>
      <c r="C8" s="9"/>
      <c r="D8" s="9"/>
      <c r="E8" s="9"/>
      <c r="F8" s="9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s="1" customFormat="1" ht="42.5" customHeight="1" x14ac:dyDescent="0.35">
      <c r="A9" s="11"/>
      <c r="B9" s="11"/>
      <c r="C9" s="11"/>
      <c r="D9" s="11"/>
      <c r="E9" s="11"/>
      <c r="F9" s="11"/>
    </row>
    <row r="10" spans="1:25" s="1" customFormat="1" ht="42.5" customHeight="1" x14ac:dyDescent="0.35">
      <c r="A10" s="11"/>
      <c r="B10" s="11"/>
      <c r="C10" s="11"/>
      <c r="D10" s="11"/>
      <c r="E10" s="11"/>
      <c r="F10" s="11"/>
    </row>
    <row r="11" spans="1:25" s="1" customFormat="1" ht="42.5" customHeight="1" x14ac:dyDescent="0.35">
      <c r="A11" s="11"/>
      <c r="B11" s="11"/>
      <c r="C11" s="11"/>
      <c r="D11" s="11"/>
      <c r="E11" s="11"/>
      <c r="F11" s="11"/>
    </row>
    <row r="12" spans="1:25" s="1" customFormat="1" ht="42.5" customHeight="1" x14ac:dyDescent="0.35">
      <c r="A12" s="11"/>
      <c r="B12" s="11"/>
      <c r="C12" s="11"/>
      <c r="D12" s="11"/>
      <c r="E12" s="11"/>
      <c r="F12" s="11"/>
    </row>
    <row r="13" spans="1:25" s="1" customFormat="1" ht="42.5" customHeight="1" x14ac:dyDescent="0.35">
      <c r="A13" s="11"/>
      <c r="B13" s="11"/>
      <c r="C13" s="11"/>
      <c r="D13" s="11"/>
      <c r="E13" s="11"/>
      <c r="F13" s="11"/>
    </row>
    <row r="14" spans="1:25" s="1" customFormat="1" ht="42.5" customHeight="1" x14ac:dyDescent="0.35">
      <c r="A14" s="11"/>
      <c r="B14" s="11"/>
      <c r="C14" s="11"/>
      <c r="D14" s="11"/>
      <c r="E14" s="11"/>
      <c r="F14" s="11"/>
    </row>
    <row r="15" spans="1:25" s="1" customFormat="1" ht="42.5" customHeight="1" x14ac:dyDescent="0.35">
      <c r="A15" s="11"/>
      <c r="B15" s="11"/>
      <c r="C15" s="11"/>
      <c r="D15" s="11"/>
      <c r="E15" s="11"/>
      <c r="F15" s="11"/>
    </row>
    <row r="16" spans="1:25" s="1" customFormat="1" ht="42.5" customHeight="1" x14ac:dyDescent="0.35">
      <c r="A16" s="11"/>
      <c r="B16" s="11"/>
      <c r="C16" s="11"/>
      <c r="D16" s="11"/>
      <c r="E16" s="11"/>
      <c r="F16" s="11"/>
    </row>
    <row r="17" spans="1:6" s="1" customFormat="1" ht="42.5" customHeight="1" x14ac:dyDescent="0.35">
      <c r="A17" s="11"/>
      <c r="B17" s="11"/>
      <c r="C17" s="11"/>
      <c r="D17" s="11"/>
      <c r="E17" s="11"/>
      <c r="F17" s="11"/>
    </row>
    <row r="18" spans="1:6" s="1" customFormat="1" ht="42.5" customHeight="1" x14ac:dyDescent="0.35">
      <c r="A18" s="11"/>
      <c r="B18" s="11"/>
      <c r="C18" s="11"/>
      <c r="D18" s="11"/>
      <c r="E18" s="11"/>
      <c r="F18" s="11"/>
    </row>
    <row r="19" spans="1:6" s="1" customFormat="1" ht="42.5" customHeight="1" x14ac:dyDescent="0.35">
      <c r="A19" s="11"/>
      <c r="B19" s="11"/>
      <c r="C19" s="11"/>
      <c r="D19" s="11"/>
      <c r="E19" s="11"/>
      <c r="F19" s="11"/>
    </row>
    <row r="20" spans="1:6" s="1" customFormat="1" ht="42.5" customHeight="1" x14ac:dyDescent="0.35">
      <c r="A20" s="11"/>
      <c r="B20" s="11"/>
      <c r="C20" s="11"/>
      <c r="D20" s="11"/>
      <c r="E20" s="11"/>
      <c r="F20" s="11"/>
    </row>
    <row r="21" spans="1:6" s="1" customFormat="1" ht="42.5" customHeight="1" x14ac:dyDescent="0.35">
      <c r="A21" s="11"/>
      <c r="B21" s="11"/>
      <c r="C21" s="11"/>
      <c r="D21" s="11"/>
      <c r="E21" s="11"/>
      <c r="F21" s="11"/>
    </row>
    <row r="22" spans="1:6" s="1" customFormat="1" ht="42.5" customHeight="1" x14ac:dyDescent="0.35">
      <c r="A22" s="11"/>
      <c r="B22" s="11"/>
      <c r="C22" s="11"/>
      <c r="D22" s="11"/>
      <c r="E22" s="11"/>
      <c r="F22" s="11"/>
    </row>
    <row r="23" spans="1:6" s="1" customFormat="1" ht="42.5" customHeight="1" x14ac:dyDescent="0.35">
      <c r="A23" s="11"/>
      <c r="B23" s="11"/>
      <c r="C23" s="11"/>
      <c r="D23" s="11"/>
      <c r="E23" s="11"/>
      <c r="F23" s="11"/>
    </row>
    <row r="24" spans="1:6" s="1" customFormat="1" ht="42.5" customHeight="1" x14ac:dyDescent="0.35">
      <c r="A24" s="11"/>
      <c r="B24" s="11"/>
      <c r="C24" s="11"/>
      <c r="D24" s="11"/>
      <c r="E24" s="11"/>
      <c r="F24" s="11"/>
    </row>
    <row r="25" spans="1:6" s="1" customFormat="1" ht="42.5" customHeight="1" x14ac:dyDescent="0.35">
      <c r="A25" s="11"/>
      <c r="B25" s="11"/>
      <c r="C25" s="11"/>
      <c r="D25" s="11"/>
      <c r="E25" s="11"/>
      <c r="F25" s="11"/>
    </row>
    <row r="26" spans="1:6" s="1" customFormat="1" ht="42.5" customHeight="1" x14ac:dyDescent="0.35">
      <c r="A26" s="11"/>
      <c r="B26" s="11"/>
      <c r="C26" s="11"/>
      <c r="D26" s="11"/>
      <c r="E26" s="11"/>
      <c r="F26" s="11"/>
    </row>
    <row r="27" spans="1:6" s="1" customFormat="1" ht="42.5" customHeight="1" x14ac:dyDescent="0.35">
      <c r="A27" s="11"/>
      <c r="B27" s="11"/>
      <c r="C27" s="11"/>
      <c r="D27" s="11"/>
      <c r="E27" s="11"/>
      <c r="F27" s="11"/>
    </row>
    <row r="28" spans="1:6" s="1" customFormat="1" ht="42.5" customHeight="1" x14ac:dyDescent="0.35">
      <c r="A28" s="11"/>
      <c r="B28" s="11"/>
      <c r="C28" s="11"/>
      <c r="D28" s="11"/>
      <c r="E28" s="11"/>
      <c r="F28" s="11"/>
    </row>
    <row r="29" spans="1:6" s="1" customFormat="1" ht="42.5" customHeight="1" x14ac:dyDescent="0.35">
      <c r="A29" s="11"/>
      <c r="B29" s="11"/>
      <c r="C29" s="11"/>
      <c r="D29" s="11"/>
      <c r="E29" s="11"/>
      <c r="F29" s="11"/>
    </row>
    <row r="30" spans="1:6" s="1" customFormat="1" ht="42.5" customHeight="1" x14ac:dyDescent="0.35">
      <c r="A30" s="11"/>
      <c r="B30" s="11"/>
      <c r="C30" s="11"/>
      <c r="D30" s="11"/>
      <c r="E30" s="11"/>
      <c r="F30" s="11"/>
    </row>
    <row r="31" spans="1:6" s="1" customFormat="1" ht="42.5" customHeight="1" x14ac:dyDescent="0.35">
      <c r="A31" s="11"/>
      <c r="B31" s="11"/>
      <c r="C31" s="11"/>
      <c r="D31" s="11"/>
      <c r="E31" s="11"/>
      <c r="F31" s="11"/>
    </row>
    <row r="32" spans="1:6" s="1" customFormat="1" ht="42.5" customHeight="1" x14ac:dyDescent="0.35">
      <c r="A32" s="11"/>
      <c r="B32" s="11"/>
      <c r="C32" s="11"/>
      <c r="D32" s="11"/>
      <c r="E32" s="11"/>
      <c r="F32" s="11"/>
    </row>
    <row r="33" spans="1:6" s="1" customFormat="1" ht="42.5" customHeight="1" x14ac:dyDescent="0.35">
      <c r="A33" s="11"/>
      <c r="B33" s="11"/>
      <c r="C33" s="11"/>
      <c r="D33" s="11"/>
      <c r="E33" s="11"/>
      <c r="F33" s="11"/>
    </row>
    <row r="34" spans="1:6" s="1" customFormat="1" ht="42.5" customHeight="1" x14ac:dyDescent="0.35">
      <c r="A34" s="11"/>
      <c r="B34" s="11"/>
      <c r="C34" s="11"/>
      <c r="D34" s="11"/>
      <c r="E34" s="11"/>
      <c r="F34" s="11"/>
    </row>
  </sheetData>
  <mergeCells count="6">
    <mergeCell ref="F3:F4"/>
    <mergeCell ref="A3:A4"/>
    <mergeCell ref="B3:B4"/>
    <mergeCell ref="C3:C4"/>
    <mergeCell ref="D3:D4"/>
    <mergeCell ref="E3:E4"/>
  </mergeCells>
  <conditionalFormatting sqref="U7:U1048576 W5:W6 U1:U5">
    <cfRule type="cellIs" dxfId="4" priority="5" operator="lessThan">
      <formula>0</formula>
    </cfRule>
  </conditionalFormatting>
  <conditionalFormatting sqref="Y7:Y1048576 Y1">
    <cfRule type="cellIs" dxfId="3" priority="4" operator="lessThan">
      <formula>0</formula>
    </cfRule>
  </conditionalFormatting>
  <conditionalFormatting sqref="U2:V5">
    <cfRule type="cellIs" dxfId="2" priority="3" operator="lessThan">
      <formula>0</formula>
    </cfRule>
    <cfRule type="cellIs" dxfId="1" priority="1" operator="greaterThan">
      <formula>0</formula>
    </cfRule>
  </conditionalFormatting>
  <conditionalFormatting sqref="U5:V5">
    <cfRule type="cellIs" dxfId="0" priority="2" operator="lessThan">
      <formula>0</formula>
    </cfRule>
  </conditionalFormatting>
  <pageMargins left="0.7" right="0.7" top="0.75" bottom="0.75" header="0.3" footer="0.3"/>
  <pageSetup orientation="portrait" r:id="rId1"/>
  <customProperties>
    <customPr name="_pios_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AE94798D0E7D4487CB84FC9A87565D" ma:contentTypeVersion="3" ma:contentTypeDescription="Ein neues Dokument erstellen." ma:contentTypeScope="" ma:versionID="33e5b9f17f564444262d10d195f80364">
  <xsd:schema xmlns:xsd="http://www.w3.org/2001/XMLSchema" xmlns:xs="http://www.w3.org/2001/XMLSchema" xmlns:p="http://schemas.microsoft.com/office/2006/metadata/properties" xmlns:ns2="c58f02bd-e0b7-474b-a2bc-9a19f162f3a8" targetNamespace="http://schemas.microsoft.com/office/2006/metadata/properties" ma:root="true" ma:fieldsID="d564844f0ef82412df5d67f75bfd6bd4" ns2:_="">
    <xsd:import namespace="c58f02bd-e0b7-474b-a2bc-9a19f162f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f02bd-e0b7-474b-a2bc-9a19f162f3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7CE067B-43C1-4E12-BB27-D68BDD9D3BD3}"/>
</file>

<file path=customXml/itemProps2.xml><?xml version="1.0" encoding="utf-8"?>
<ds:datastoreItem xmlns:ds="http://schemas.openxmlformats.org/officeDocument/2006/customXml" ds:itemID="{57D59EB8-9586-4291-A238-6EFFD1B6F620}"/>
</file>

<file path=customXml/itemProps3.xml><?xml version="1.0" encoding="utf-8"?>
<ds:datastoreItem xmlns:ds="http://schemas.openxmlformats.org/officeDocument/2006/customXml" ds:itemID="{6363CF7B-AC66-400B-BEBF-4D41D144CA0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KW39, 2025</vt:lpstr>
    </vt:vector>
  </TitlesOfParts>
  <Company>RVNA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Xiangwei Chen ALF RPSBE1</dc:creator>
  <cp:lastModifiedBy>Xiangwei Chen ALF RPSBE1</cp:lastModifiedBy>
  <cp:lastPrinted>2025-09-03T13:26:17Z</cp:lastPrinted>
  <dcterms:created xsi:type="dcterms:W3CDTF">2025-09-02T13:26:50Z</dcterms:created>
  <dcterms:modified xsi:type="dcterms:W3CDTF">2025-10-01T16:47:22Z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557171-d5a2-4c27-b720-d0ccc7e87f50_Enabled">
    <vt:lpwstr>true</vt:lpwstr>
  </property>
  <property fmtid="{D5CDD505-2E9C-101B-9397-08002B2CF9AE}" pid="3" name="MSIP_Label_1b557171-d5a2-4c27-b720-d0ccc7e87f50_SetDate">
    <vt:lpwstr>2025-09-02T13:33:29Z</vt:lpwstr>
  </property>
  <property fmtid="{D5CDD505-2E9C-101B-9397-08002B2CF9AE}" pid="4" name="MSIP_Label_1b557171-d5a2-4c27-b720-d0ccc7e87f50_Method">
    <vt:lpwstr>Privileged</vt:lpwstr>
  </property>
  <property fmtid="{D5CDD505-2E9C-101B-9397-08002B2CF9AE}" pid="5" name="MSIP_Label_1b557171-d5a2-4c27-b720-d0ccc7e87f50_Name">
    <vt:lpwstr>RVNA Confidential Sub_2</vt:lpwstr>
  </property>
  <property fmtid="{D5CDD505-2E9C-101B-9397-08002B2CF9AE}" pid="6" name="MSIP_Label_1b557171-d5a2-4c27-b720-d0ccc7e87f50_SiteId">
    <vt:lpwstr>87f9dc52-94b9-4266-8431-8be91e1f699c</vt:lpwstr>
  </property>
  <property fmtid="{D5CDD505-2E9C-101B-9397-08002B2CF9AE}" pid="7" name="MSIP_Label_1b557171-d5a2-4c27-b720-d0ccc7e87f50_ActionId">
    <vt:lpwstr>9560bc8f-fcd9-47ac-b9f2-f7340a6dea54</vt:lpwstr>
  </property>
  <property fmtid="{D5CDD505-2E9C-101B-9397-08002B2CF9AE}" pid="8" name="MSIP_Label_1b557171-d5a2-4c27-b720-d0ccc7e87f50_ContentBits">
    <vt:lpwstr>1</vt:lpwstr>
  </property>
  <property fmtid="{D5CDD505-2E9C-101B-9397-08002B2CF9AE}" pid="9" name="ContentTypeId">
    <vt:lpwstr>0x010100D2AE94798D0E7D4487CB84FC9A87565D</vt:lpwstr>
  </property>
</Properties>
</file>