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ssivesafety-my.sharepoint.com/personal/xiangwei_chen_zf-lifetec_com/Documents/Program Purchasing RB/01. Sourcing/Sourcing Alignment Committee/KW41, 08.10.2025/"/>
    </mc:Choice>
  </mc:AlternateContent>
  <xr:revisionPtr revIDLastSave="71" documentId="8_{1B948834-2FE0-4491-B12B-87512BB37092}" xr6:coauthVersionLast="47" xr6:coauthVersionMax="47" xr10:uidLastSave="{235AA9FC-647E-42E5-8D47-FA6C677073D9}"/>
  <bookViews>
    <workbookView xWindow="-110" yWindow="-110" windowWidth="19420" windowHeight="10300" xr2:uid="{00000000-000D-0000-FFFF-FFFF00000000}"/>
  </bookViews>
  <sheets>
    <sheet name="KW41, 2025" sheetId="4" r:id="rId1"/>
    <sheet name="Supplier Score Card" sheetId="5" r:id="rId2"/>
    <sheet name="Saving Performance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8" i="6" l="1"/>
  <c r="U28" i="6" s="1"/>
  <c r="U16" i="6"/>
  <c r="T16" i="6"/>
  <c r="U2" i="6"/>
  <c r="T2" i="6"/>
  <c r="R2" i="6"/>
  <c r="V3" i="4"/>
  <c r="Z2" i="4"/>
  <c r="W2" i="4"/>
  <c r="V2" i="4"/>
  <c r="V4" i="4"/>
  <c r="W4" i="4"/>
  <c r="W3" i="4"/>
  <c r="Z3" i="4"/>
</calcChain>
</file>

<file path=xl/sharedStrings.xml><?xml version="1.0" encoding="utf-8"?>
<sst xmlns="http://schemas.openxmlformats.org/spreadsheetml/2006/main" count="85" uniqueCount="81">
  <si>
    <t>#</t>
  </si>
  <si>
    <t>Region</t>
  </si>
  <si>
    <t>Type</t>
  </si>
  <si>
    <t>Project/ Product</t>
  </si>
  <si>
    <t>Commodity</t>
  </si>
  <si>
    <t>Parent PF Code</t>
  </si>
  <si>
    <t>SWAT ID / Bundle ID</t>
  </si>
  <si>
    <t>Part Description</t>
  </si>
  <si>
    <t>PN</t>
  </si>
  <si>
    <t>Recommended Supplier (s)</t>
  </si>
  <si>
    <t>Presenter</t>
  </si>
  <si>
    <t>Decision Level</t>
  </si>
  <si>
    <t>Peak Year Spend</t>
  </si>
  <si>
    <t xml:space="preserve">LT Spend </t>
  </si>
  <si>
    <t>Comment</t>
  </si>
  <si>
    <t xml:space="preserve">Sourcing Decision </t>
  </si>
  <si>
    <t>Notes/Task/ Resp./ Due Date</t>
  </si>
  <si>
    <t>CQA PC PRICE</t>
  </si>
  <si>
    <t>Rec. Supplier Landed</t>
  </si>
  <si>
    <t>Average Volume</t>
  </si>
  <si>
    <t>LT volume</t>
  </si>
  <si>
    <t>Average Year Saving vs CQA</t>
  </si>
  <si>
    <t>LT saving</t>
  </si>
  <si>
    <t>CQA Tooling</t>
  </si>
  <si>
    <t xml:space="preserve">Rec. Supplier Tooling </t>
  </si>
  <si>
    <t>Tooling Saving vs CQA</t>
  </si>
  <si>
    <t>EU</t>
  </si>
  <si>
    <t>GCS</t>
  </si>
  <si>
    <t>SPR8</t>
  </si>
  <si>
    <t>CH01</t>
  </si>
  <si>
    <t>CH01014</t>
  </si>
  <si>
    <t>110000032785</t>
  </si>
  <si>
    <t>SENSOR HOUSING</t>
  </si>
  <si>
    <t>34142790C</t>
  </si>
  <si>
    <t>Henn DE</t>
  </si>
  <si>
    <t>Alberto Martínez</t>
  </si>
  <si>
    <t>L3</t>
  </si>
  <si>
    <t>Capacity tool + ITW replacement</t>
  </si>
  <si>
    <t>Fabiola Rodriguez</t>
  </si>
  <si>
    <t>R002B221A</t>
  </si>
  <si>
    <t>SWITCH &amp; WIRE ASSY - PURCH COMP</t>
  </si>
  <si>
    <t>EA03011</t>
  </si>
  <si>
    <t>EA0301103</t>
  </si>
  <si>
    <t>2024 STLA METMEL</t>
  </si>
  <si>
    <t>New Part</t>
  </si>
  <si>
    <t>NA</t>
  </si>
  <si>
    <t>168K EUR</t>
  </si>
  <si>
    <t>258K EUR</t>
  </si>
  <si>
    <t>790K EUR</t>
  </si>
  <si>
    <t>1.2M EUR</t>
  </si>
  <si>
    <t>110000032740</t>
  </si>
  <si>
    <t>CH01012</t>
  </si>
  <si>
    <t xml:space="preserve">VW T9 </t>
  </si>
  <si>
    <t>AP3 boot</t>
  </si>
  <si>
    <t>R002U487A</t>
  </si>
  <si>
    <t>Viridiana Gomez</t>
  </si>
  <si>
    <t>L2</t>
  </si>
  <si>
    <t>279K EUR</t>
  </si>
  <si>
    <t>1,7M EUR</t>
  </si>
  <si>
    <t>Shanghai Jinglei CN</t>
  </si>
  <si>
    <t>Empire US</t>
  </si>
  <si>
    <t xml:space="preserve">to implement first for VW T9 after SOP and then implement as well for running VW T7/T8 business – to replace current AP3 boot 34149266B Kwangduck Poland Sp. Z o.o. – new boot with improved design to avoid further PPACs issues </t>
  </si>
  <si>
    <t>Scorecard</t>
  </si>
  <si>
    <t>Henn</t>
  </si>
  <si>
    <t>Supplier Name</t>
  </si>
  <si>
    <t>Commercial Saving KW41</t>
  </si>
  <si>
    <t>VAVE tachnical saving KW41</t>
  </si>
  <si>
    <t>Sum</t>
  </si>
  <si>
    <t>Shanghai Jinglei</t>
  </si>
  <si>
    <t>Planned Spend</t>
  </si>
  <si>
    <t>saving/spend</t>
  </si>
  <si>
    <t>Empire</t>
  </si>
  <si>
    <t>Saving KW41</t>
  </si>
  <si>
    <t>Saving/Spend KW41</t>
  </si>
  <si>
    <r>
      <rPr>
        <b/>
        <sz val="8"/>
        <color rgb="FF00B050"/>
        <rFont val="Arial"/>
        <family val="2"/>
      </rPr>
      <t>Approved</t>
    </r>
  </si>
  <si>
    <r>
      <t xml:space="preserve">1. Freight Cost to be added </t>
    </r>
    <r>
      <rPr>
        <b/>
        <sz val="8"/>
        <color rgb="FF000000"/>
        <rFont val="Arial"/>
        <family val="2"/>
      </rPr>
      <t>- CM Virdiana</t>
    </r>
    <r>
      <rPr>
        <sz val="8"/>
        <color rgb="FF000000"/>
        <rFont val="Arial"/>
        <family val="2"/>
      </rPr>
      <t xml:space="preserve">
2. Röchling tooling cost to be double checked </t>
    </r>
    <r>
      <rPr>
        <b/>
        <sz val="8"/>
        <color rgb="FF000000"/>
        <rFont val="Arial"/>
        <family val="2"/>
      </rPr>
      <t>- CM Virdiana</t>
    </r>
    <r>
      <rPr>
        <sz val="8"/>
        <color rgb="FF000000"/>
        <rFont val="Arial"/>
        <family val="2"/>
      </rPr>
      <t xml:space="preserve"> 
3. Pc price of Jiangsu New Technology
Group to be updated to reflect price per 100 units </t>
    </r>
    <r>
      <rPr>
        <b/>
        <sz val="8"/>
        <color rgb="FF000000"/>
        <rFont val="Arial"/>
        <family val="2"/>
      </rPr>
      <t xml:space="preserve">- CM Virdiana </t>
    </r>
  </si>
  <si>
    <t>Not approved</t>
  </si>
  <si>
    <t>METMEL increased wiring length and changed connector, timing urgent.
Empire US is the current source before the change. SOP Jan. 2nd, 2026, PPAP Nov. 30th, 2025.</t>
  </si>
  <si>
    <r>
      <t>1. Cost of AP supplier Jinglei checked, removing TR&amp;R comparable to Henn, Jinglei price to be added into SDS. -</t>
    </r>
    <r>
      <rPr>
        <b/>
        <sz val="8"/>
        <color rgb="FF000000"/>
        <rFont val="Arial"/>
        <family val="2"/>
      </rPr>
      <t xml:space="preserve"> CM Alberto.</t>
    </r>
    <r>
      <rPr>
        <sz val="8"/>
        <color rgb="FF000000"/>
        <rFont val="Arial"/>
        <family val="2"/>
      </rPr>
      <t xml:space="preserve">
2. Confidence with Henn with 16 Cav. Tool: Jinglei does not quote more than 4 cav. ITW max cav. 8. Cemtech already producing with 16 Cav tool for NA.
To share with supplier Henn about lessons learn of 16 Cav. tool. </t>
    </r>
    <r>
      <rPr>
        <b/>
        <sz val="8"/>
        <color rgb="FF000000"/>
        <rFont val="Arial"/>
        <family val="2"/>
      </rPr>
      <t>- CM Alberto, +SDE</t>
    </r>
    <r>
      <rPr>
        <sz val="8"/>
        <color rgb="FF000000"/>
        <rFont val="Arial"/>
        <family val="2"/>
      </rPr>
      <t xml:space="preserve">
3. Impact multilple tooling correction loops towards project to be evaluated. To highlight the importance of keeping the time line and on time PPAP. </t>
    </r>
    <r>
      <rPr>
        <b/>
        <sz val="8"/>
        <color rgb="FF000000"/>
        <rFont val="Arial"/>
        <family val="2"/>
      </rPr>
      <t>- CM Alberto</t>
    </r>
    <r>
      <rPr>
        <sz val="8"/>
        <color rgb="FF000000"/>
        <rFont val="Arial"/>
        <family val="2"/>
      </rPr>
      <t xml:space="preserve">
4. 0 CVS strategy, which has a negative impact on PPAP lead time, to be double checked again with engineering team.</t>
    </r>
    <r>
      <rPr>
        <b/>
        <sz val="8"/>
        <color rgb="FF000000"/>
        <rFont val="Arial"/>
        <family val="2"/>
      </rPr>
      <t xml:space="preserve"> - PP Markus</t>
    </r>
    <r>
      <rPr>
        <sz val="8"/>
        <color rgb="FF000000"/>
        <rFont val="Arial"/>
        <family val="2"/>
      </rPr>
      <t xml:space="preserve">
5. To inform the supplier only after CCB approval.</t>
    </r>
    <r>
      <rPr>
        <b/>
        <sz val="8"/>
        <color rgb="FF000000"/>
        <rFont val="Arial"/>
        <family val="2"/>
      </rPr>
      <t xml:space="preserve"> - CM Alberto
</t>
    </r>
  </si>
  <si>
    <t>Conditionally Approved</t>
  </si>
  <si>
    <r>
      <t xml:space="preserve">1. Empire although located in US, is not USMCA compliant.
CM to work out a strategy or plan how to turn Non-USMCA content (2025 Spend 16Mio Euro) to USMCA eligiable </t>
    </r>
    <r>
      <rPr>
        <b/>
        <sz val="8"/>
        <color rgb="FF000000"/>
        <rFont val="Arial"/>
        <family val="2"/>
      </rPr>
      <t>- CM Aaron, Fabiola</t>
    </r>
    <r>
      <rPr>
        <sz val="8"/>
        <color rgb="FF000000"/>
        <rFont val="Arial"/>
        <family val="2"/>
      </rPr>
      <t xml:space="preserve">
2. Please ask ODW MX to quote. </t>
    </r>
    <r>
      <rPr>
        <b/>
        <sz val="8"/>
        <color rgb="FF000000"/>
        <rFont val="Arial"/>
        <family val="2"/>
      </rPr>
      <t>- CM Fabiola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</si>
</sst>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.00\ [$EUR]"/>
    <numFmt numFmtId="165" formatCode="#,##0\ [$EUR]"/>
    <numFmt numFmtId="166" formatCode="#,##0.0000\ [$EUR]"/>
    <numFmt numFmtId="167" formatCode="#,##0.00\ &quot;€&quot;"/>
    <numFmt numFmtId="168" formatCode="_-* #,##0_-;\-* #,##0_-;_-* &quot;-&quot;??_-;_-@_-"/>
    <numFmt numFmtId="169" formatCode="0.0%"/>
  </numFmts>
  <fonts count="9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8"/>
      <color rgb="FF92D050"/>
      <name val="Arial"/>
      <family val="2"/>
    </font>
    <font>
      <b/>
      <sz val="8"/>
      <color rgb="FF00B050"/>
      <name val="Arial"/>
      <family val="2"/>
    </font>
    <font>
      <b/>
      <sz val="8"/>
      <color rgb="FF000000"/>
      <name val="Arial"/>
      <family val="2"/>
    </font>
    <font>
      <b/>
      <sz val="8"/>
      <color rgb="FFFF0000"/>
      <name val="Arial"/>
      <family val="2"/>
    </font>
    <font>
      <b/>
      <sz val="8"/>
      <color theme="5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73E11"/>
        <bgColor indexed="64"/>
      </patternFill>
    </fill>
    <fill>
      <patternFill patternType="solid">
        <fgColor rgb="FFF6CE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 style="medium">
        <color theme="0"/>
      </left>
      <right style="medium">
        <color rgb="FFFFFFFF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rgb="FFFFFFFF"/>
      </left>
      <right style="medium">
        <color theme="0"/>
      </right>
      <top style="medium">
        <color theme="0"/>
      </top>
      <bottom/>
      <diagonal/>
    </border>
    <border>
      <left style="medium">
        <color rgb="FFFFFFFF"/>
      </left>
      <right style="medium">
        <color theme="0"/>
      </right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wrapText="1"/>
    </xf>
    <xf numFmtId="0" fontId="1" fillId="3" borderId="3" xfId="0" quotePrefix="1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164" fontId="1" fillId="3" borderId="3" xfId="0" quotePrefix="1" applyNumberFormat="1" applyFont="1" applyFill="1" applyBorder="1" applyAlignment="1">
      <alignment horizontal="left" vertical="center" wrapText="1" readingOrder="1"/>
    </xf>
    <xf numFmtId="3" fontId="1" fillId="3" borderId="3" xfId="0" quotePrefix="1" applyNumberFormat="1" applyFont="1" applyFill="1" applyBorder="1" applyAlignment="1">
      <alignment horizontal="left" vertical="center" wrapText="1" readingOrder="1"/>
    </xf>
    <xf numFmtId="165" fontId="1" fillId="3" borderId="3" xfId="0" quotePrefix="1" applyNumberFormat="1" applyFont="1" applyFill="1" applyBorder="1" applyAlignment="1">
      <alignment horizontal="left" vertical="center" wrapText="1" readingOrder="1"/>
    </xf>
    <xf numFmtId="0" fontId="2" fillId="4" borderId="1" xfId="0" applyFont="1" applyFill="1" applyBorder="1" applyAlignment="1">
      <alignment horizontal="left" vertical="center" wrapText="1" readingOrder="1"/>
    </xf>
    <xf numFmtId="0" fontId="2" fillId="4" borderId="2" xfId="0" applyFont="1" applyFill="1" applyBorder="1" applyAlignment="1">
      <alignment horizontal="left" vertical="center" wrapText="1" readingOrder="1"/>
    </xf>
    <xf numFmtId="0" fontId="1" fillId="3" borderId="3" xfId="0" quotePrefix="1" applyFont="1" applyFill="1" applyBorder="1" applyAlignment="1">
      <alignment horizontal="left" vertical="top" wrapText="1" readingOrder="1"/>
    </xf>
    <xf numFmtId="0" fontId="1" fillId="3" borderId="3" xfId="0" quotePrefix="1" applyFont="1" applyFill="1" applyBorder="1" applyAlignment="1">
      <alignment horizontal="center" vertical="center" wrapText="1" readingOrder="1"/>
    </xf>
    <xf numFmtId="0" fontId="1" fillId="3" borderId="6" xfId="0" quotePrefix="1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 wrapText="1" readingOrder="1"/>
    </xf>
    <xf numFmtId="0" fontId="1" fillId="3" borderId="6" xfId="0" quotePrefix="1" applyFont="1" applyFill="1" applyBorder="1" applyAlignment="1">
      <alignment horizontal="left" vertical="center" wrapText="1" readingOrder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1" fontId="1" fillId="3" borderId="3" xfId="0" quotePrefix="1" applyNumberFormat="1" applyFont="1" applyFill="1" applyBorder="1" applyAlignment="1">
      <alignment horizontal="left" vertical="center" wrapText="1" readingOrder="1"/>
    </xf>
    <xf numFmtId="0" fontId="1" fillId="3" borderId="9" xfId="0" quotePrefix="1" applyFont="1" applyFill="1" applyBorder="1" applyAlignment="1">
      <alignment horizontal="left" vertical="center" wrapText="1" readingOrder="1"/>
    </xf>
    <xf numFmtId="167" fontId="1" fillId="3" borderId="3" xfId="0" quotePrefix="1" applyNumberFormat="1" applyFont="1" applyFill="1" applyBorder="1" applyAlignment="1">
      <alignment horizontal="left" vertical="center" wrapText="1" readingOrder="1"/>
    </xf>
    <xf numFmtId="165" fontId="1" fillId="3" borderId="3" xfId="0" quotePrefix="1" applyNumberFormat="1" applyFont="1" applyFill="1" applyBorder="1" applyAlignment="1">
      <alignment horizontal="right" vertical="center" wrapText="1" readingOrder="1"/>
    </xf>
    <xf numFmtId="166" fontId="1" fillId="3" borderId="3" xfId="0" quotePrefix="1" applyNumberFormat="1" applyFont="1" applyFill="1" applyBorder="1" applyAlignment="1">
      <alignment horizontal="right" vertical="center" wrapText="1" readingOrder="1"/>
    </xf>
    <xf numFmtId="3" fontId="1" fillId="3" borderId="3" xfId="0" quotePrefix="1" applyNumberFormat="1" applyFont="1" applyFill="1" applyBorder="1" applyAlignment="1">
      <alignment horizontal="right" vertical="center" wrapText="1" readingOrder="1"/>
    </xf>
    <xf numFmtId="0" fontId="0" fillId="0" borderId="0" xfId="0" applyAlignment="1">
      <alignment vertical="center"/>
    </xf>
    <xf numFmtId="3" fontId="1" fillId="5" borderId="3" xfId="0" quotePrefix="1" applyNumberFormat="1" applyFont="1" applyFill="1" applyBorder="1" applyAlignment="1">
      <alignment horizontal="right" vertical="center" wrapText="1" readingOrder="1"/>
    </xf>
    <xf numFmtId="3" fontId="1" fillId="6" borderId="3" xfId="0" quotePrefix="1" applyNumberFormat="1" applyFont="1" applyFill="1" applyBorder="1" applyAlignment="1">
      <alignment horizontal="right" vertical="center" wrapText="1" readingOrder="1"/>
    </xf>
    <xf numFmtId="168" fontId="0" fillId="0" borderId="0" xfId="1" applyNumberFormat="1" applyFont="1"/>
    <xf numFmtId="169" fontId="0" fillId="0" borderId="0" xfId="2" applyNumberFormat="1" applyFont="1"/>
    <xf numFmtId="0" fontId="0" fillId="0" borderId="0" xfId="0" applyAlignment="1">
      <alignment horizontal="right"/>
    </xf>
    <xf numFmtId="168" fontId="0" fillId="0" borderId="0" xfId="1" applyNumberFormat="1" applyFont="1" applyAlignment="1">
      <alignment horizontal="right"/>
    </xf>
    <xf numFmtId="168" fontId="0" fillId="0" borderId="0" xfId="0" applyNumberFormat="1" applyAlignment="1">
      <alignment horizontal="right"/>
    </xf>
    <xf numFmtId="168" fontId="1" fillId="3" borderId="3" xfId="1" quotePrefix="1" applyNumberFormat="1" applyFont="1" applyFill="1" applyBorder="1" applyAlignment="1">
      <alignment horizontal="right" vertical="center" wrapText="1" readingOrder="1"/>
    </xf>
    <xf numFmtId="169" fontId="1" fillId="3" borderId="3" xfId="2" quotePrefix="1" applyNumberFormat="1" applyFont="1" applyFill="1" applyBorder="1" applyAlignment="1">
      <alignment horizontal="right" vertical="center" wrapText="1" readingOrder="1"/>
    </xf>
    <xf numFmtId="0" fontId="1" fillId="3" borderId="4" xfId="0" quotePrefix="1" applyFont="1" applyFill="1" applyBorder="1" applyAlignment="1">
      <alignment horizontal="left" vertical="center" wrapText="1" readingOrder="1"/>
    </xf>
    <xf numFmtId="0" fontId="1" fillId="3" borderId="5" xfId="0" quotePrefix="1" applyFont="1" applyFill="1" applyBorder="1" applyAlignment="1">
      <alignment horizontal="left" vertical="center" wrapText="1" readingOrder="1"/>
    </xf>
    <xf numFmtId="0" fontId="1" fillId="3" borderId="7" xfId="0" quotePrefix="1" applyFont="1" applyFill="1" applyBorder="1" applyAlignment="1">
      <alignment horizontal="left" vertical="center" wrapText="1" readingOrder="1"/>
    </xf>
    <xf numFmtId="0" fontId="1" fillId="3" borderId="8" xfId="0" quotePrefix="1" applyFont="1" applyFill="1" applyBorder="1" applyAlignment="1">
      <alignment horizontal="left" vertical="center" wrapText="1" readingOrder="1"/>
    </xf>
    <xf numFmtId="0" fontId="1" fillId="3" borderId="4" xfId="0" quotePrefix="1" applyFont="1" applyFill="1" applyBorder="1" applyAlignment="1">
      <alignment horizontal="center" vertical="center" wrapText="1" readingOrder="1"/>
    </xf>
    <xf numFmtId="0" fontId="1" fillId="3" borderId="5" xfId="0" quotePrefix="1" applyFont="1" applyFill="1" applyBorder="1" applyAlignment="1">
      <alignment horizontal="center" vertical="center" wrapText="1" readingOrder="1"/>
    </xf>
    <xf numFmtId="0" fontId="4" fillId="3" borderId="3" xfId="0" quotePrefix="1" applyFont="1" applyFill="1" applyBorder="1" applyAlignment="1">
      <alignment horizontal="left" vertical="center" wrapText="1" readingOrder="1"/>
    </xf>
    <xf numFmtId="0" fontId="7" fillId="3" borderId="3" xfId="0" quotePrefix="1" applyFont="1" applyFill="1" applyBorder="1" applyAlignment="1">
      <alignment horizontal="left" vertical="center" wrapText="1" readingOrder="1"/>
    </xf>
    <xf numFmtId="0" fontId="8" fillId="3" borderId="3" xfId="0" quotePrefix="1" applyFont="1" applyFill="1" applyBorder="1" applyAlignment="1">
      <alignment horizontal="left" vertical="center" wrapText="1" readingOrder="1"/>
    </xf>
  </cellXfs>
  <cellStyles count="3">
    <cellStyle name="Comma" xfId="1" builtinId="3"/>
    <cellStyle name="Normal" xfId="0" builtinId="0"/>
    <cellStyle name="Percent" xfId="2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8.png@01DC3843.00AFFC90" TargetMode="External"/><Relationship Id="rId1" Type="http://schemas.openxmlformats.org/officeDocument/2006/relationships/image" Target="../media/image1.png"/><Relationship Id="rId6" Type="http://schemas.openxmlformats.org/officeDocument/2006/relationships/image" Target="cid:image010.png@01DC3843.00AFFC90" TargetMode="External"/><Relationship Id="rId5" Type="http://schemas.openxmlformats.org/officeDocument/2006/relationships/image" Target="../media/image3.png"/><Relationship Id="rId4" Type="http://schemas.openxmlformats.org/officeDocument/2006/relationships/image" Target="cid:image009.png@01DC3843.00AFFC90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cid:image005.png@01DC3843.00AFFC90" TargetMode="External"/><Relationship Id="rId1" Type="http://schemas.openxmlformats.org/officeDocument/2006/relationships/image" Target="../media/image4.png"/><Relationship Id="rId6" Type="http://schemas.openxmlformats.org/officeDocument/2006/relationships/image" Target="cid:image007.png@01DC3843.00AFFC90" TargetMode="External"/><Relationship Id="rId5" Type="http://schemas.openxmlformats.org/officeDocument/2006/relationships/image" Target="../media/image6.png"/><Relationship Id="rId4" Type="http://schemas.openxmlformats.org/officeDocument/2006/relationships/image" Target="cid:image006.png@01DC3843.00AFFC9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168275</xdr:rowOff>
    </xdr:from>
    <xdr:to>
      <xdr:col>12</xdr:col>
      <xdr:colOff>523875</xdr:colOff>
      <xdr:row>30</xdr:row>
      <xdr:rowOff>34925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7E3017A-F094-4EA6-8395-E172D12F7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275"/>
          <a:ext cx="7839075" cy="529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12</xdr:col>
      <xdr:colOff>266700</xdr:colOff>
      <xdr:row>60</xdr:row>
      <xdr:rowOff>120650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5BA218B-5E8C-402F-BFAC-44513BF0A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0225"/>
          <a:ext cx="7581900" cy="5368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139700</xdr:colOff>
      <xdr:row>61</xdr:row>
      <xdr:rowOff>0</xdr:rowOff>
    </xdr:from>
    <xdr:to>
      <xdr:col>12</xdr:col>
      <xdr:colOff>152400</xdr:colOff>
      <xdr:row>90</xdr:row>
      <xdr:rowOff>47625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E0043EBB-60AE-48E0-8D5E-77CEB7384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" y="11039475"/>
          <a:ext cx="7327900" cy="529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13</xdr:col>
      <xdr:colOff>342900</xdr:colOff>
      <xdr:row>13</xdr:row>
      <xdr:rowOff>152400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D7B2A557-D540-06DB-78E7-AA71EA6D1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267700" cy="2362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</xdr:row>
      <xdr:rowOff>149225</xdr:rowOff>
    </xdr:from>
    <xdr:to>
      <xdr:col>13</xdr:col>
      <xdr:colOff>419100</xdr:colOff>
      <xdr:row>27</xdr:row>
      <xdr:rowOff>72761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BE3B56C0-0538-C7F4-8C6C-0C71EFACD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82875"/>
          <a:ext cx="8343900" cy="2276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</xdr:row>
      <xdr:rowOff>180292</xdr:rowOff>
    </xdr:from>
    <xdr:to>
      <xdr:col>13</xdr:col>
      <xdr:colOff>419100</xdr:colOff>
      <xdr:row>38</xdr:row>
      <xdr:rowOff>142875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B5E0D332-5CCB-B6CC-6A0F-64198278B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6617"/>
          <a:ext cx="8343900" cy="19533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1669-4D19-42D8-86BB-E55FDF20445A}">
  <sheetPr>
    <pageSetUpPr fitToPage="1"/>
  </sheetPr>
  <dimension ref="A1:AC39"/>
  <sheetViews>
    <sheetView tabSelected="1" topLeftCell="I1" zoomScaleNormal="100" workbookViewId="0">
      <pane ySplit="1" topLeftCell="A2" activePane="bottomLeft" state="frozen"/>
      <selection pane="bottomLeft" activeCell="Q5" sqref="Q5"/>
    </sheetView>
  </sheetViews>
  <sheetFormatPr defaultColWidth="9.1796875" defaultRowHeight="14.5" x14ac:dyDescent="0.35"/>
  <cols>
    <col min="1" max="1" width="6.54296875" style="14" customWidth="1"/>
    <col min="2" max="2" width="7.81640625" style="18" customWidth="1"/>
    <col min="3" max="3" width="10.54296875" style="18" customWidth="1"/>
    <col min="4" max="4" width="17.81640625" style="18" customWidth="1"/>
    <col min="5" max="5" width="10.453125" style="18" customWidth="1"/>
    <col min="6" max="6" width="11.1796875" style="18" customWidth="1"/>
    <col min="7" max="7" width="14.1796875" style="18" customWidth="1"/>
    <col min="8" max="8" width="15.81640625" style="18" customWidth="1"/>
    <col min="9" max="9" width="12.1796875" style="18" customWidth="1"/>
    <col min="10" max="10" width="14.453125" style="18" customWidth="1"/>
    <col min="11" max="11" width="17.1796875" style="18" customWidth="1"/>
    <col min="12" max="12" width="8.81640625" style="18"/>
    <col min="13" max="13" width="12" style="18" customWidth="1"/>
    <col min="14" max="14" width="10.1796875" style="18" customWidth="1"/>
    <col min="15" max="15" width="32.54296875" style="18" customWidth="1"/>
    <col min="16" max="16" width="11.6328125" customWidth="1"/>
    <col min="17" max="17" width="38" customWidth="1"/>
    <col min="18" max="18" width="13.08984375" customWidth="1"/>
    <col min="19" max="19" width="14.1796875" customWidth="1"/>
    <col min="20" max="21" width="8.54296875" customWidth="1"/>
    <col min="22" max="22" width="13" customWidth="1"/>
    <col min="23" max="23" width="15.1796875" customWidth="1"/>
    <col min="24" max="24" width="13.36328125" customWidth="1"/>
    <col min="25" max="25" width="10.1796875" customWidth="1"/>
    <col min="26" max="26" width="10.54296875" customWidth="1"/>
    <col min="28" max="28" width="10.7265625" bestFit="1" customWidth="1"/>
    <col min="29" max="29" width="12.453125" customWidth="1"/>
  </cols>
  <sheetData>
    <row r="1" spans="1:29" s="1" customFormat="1" ht="42.65" customHeight="1" thickBot="1" x14ac:dyDescent="0.4">
      <c r="A1" s="12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3" t="s">
        <v>15</v>
      </c>
      <c r="Q1" s="3" t="s">
        <v>16</v>
      </c>
      <c r="R1" s="7" t="s">
        <v>17</v>
      </c>
      <c r="S1" s="7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7" t="s">
        <v>23</v>
      </c>
      <c r="Y1" s="7" t="s">
        <v>24</v>
      </c>
      <c r="Z1" s="7" t="s">
        <v>25</v>
      </c>
      <c r="AA1" s="7" t="s">
        <v>62</v>
      </c>
      <c r="AB1" s="7" t="s">
        <v>72</v>
      </c>
      <c r="AC1" s="7" t="s">
        <v>73</v>
      </c>
    </row>
    <row r="2" spans="1:29" s="1" customFormat="1" ht="178.5" customHeight="1" thickBot="1" x14ac:dyDescent="0.4">
      <c r="A2" s="11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1" t="s">
        <v>46</v>
      </c>
      <c r="N2" s="21" t="s">
        <v>48</v>
      </c>
      <c r="O2" s="2" t="s">
        <v>37</v>
      </c>
      <c r="P2" s="41" t="s">
        <v>74</v>
      </c>
      <c r="Q2" s="2" t="s">
        <v>78</v>
      </c>
      <c r="R2" s="23">
        <v>3.3000000000000002E-2</v>
      </c>
      <c r="S2" s="23">
        <v>1.7999999999999999E-2</v>
      </c>
      <c r="T2" s="24">
        <v>8781882</v>
      </c>
      <c r="U2" s="24">
        <v>43909410</v>
      </c>
      <c r="V2" s="22">
        <f>T2*(S2-R2)</f>
        <v>-131728.23000000004</v>
      </c>
      <c r="W2" s="22">
        <f>U2*(S2-R2)</f>
        <v>-658641.15000000014</v>
      </c>
      <c r="X2" s="22">
        <v>0</v>
      </c>
      <c r="Y2" s="6">
        <v>159800</v>
      </c>
      <c r="Z2" s="6">
        <f>Y2-X2</f>
        <v>159800</v>
      </c>
      <c r="AA2" s="27">
        <v>81</v>
      </c>
      <c r="AB2" s="33">
        <v>180701</v>
      </c>
      <c r="AC2" s="34">
        <v>3.2711196490019336E-2</v>
      </c>
    </row>
    <row r="3" spans="1:29" s="1" customFormat="1" ht="86" customHeight="1" thickBot="1" x14ac:dyDescent="0.4">
      <c r="A3" s="11">
        <v>2</v>
      </c>
      <c r="B3" s="2" t="s">
        <v>26</v>
      </c>
      <c r="C3" s="2" t="s">
        <v>44</v>
      </c>
      <c r="D3" s="2" t="s">
        <v>52</v>
      </c>
      <c r="E3" s="2" t="s">
        <v>29</v>
      </c>
      <c r="F3" s="2" t="s">
        <v>51</v>
      </c>
      <c r="G3" s="2" t="s">
        <v>50</v>
      </c>
      <c r="H3" s="2" t="s">
        <v>53</v>
      </c>
      <c r="I3" s="2" t="s">
        <v>54</v>
      </c>
      <c r="J3" s="2" t="s">
        <v>59</v>
      </c>
      <c r="K3" s="2" t="s">
        <v>55</v>
      </c>
      <c r="L3" s="2" t="s">
        <v>56</v>
      </c>
      <c r="M3" s="21" t="s">
        <v>57</v>
      </c>
      <c r="N3" s="21" t="s">
        <v>58</v>
      </c>
      <c r="O3" s="2" t="s">
        <v>61</v>
      </c>
      <c r="P3" s="42" t="s">
        <v>76</v>
      </c>
      <c r="Q3" s="2" t="s">
        <v>75</v>
      </c>
      <c r="R3" s="23">
        <v>0.27</v>
      </c>
      <c r="S3" s="23">
        <v>0.16800000000000001</v>
      </c>
      <c r="T3" s="24">
        <v>1431306</v>
      </c>
      <c r="U3" s="24">
        <v>10019142</v>
      </c>
      <c r="V3" s="22">
        <f>T3*(S3-R3)</f>
        <v>-145993.212</v>
      </c>
      <c r="W3" s="22">
        <f>U3*(S3-R3)</f>
        <v>-1021952.4840000001</v>
      </c>
      <c r="X3" s="22">
        <v>170000</v>
      </c>
      <c r="Y3" s="22">
        <v>72946</v>
      </c>
      <c r="Z3" s="6">
        <f>Y3-X3</f>
        <v>-97054</v>
      </c>
      <c r="AA3" s="27">
        <v>85</v>
      </c>
      <c r="AB3" s="33">
        <v>728417</v>
      </c>
      <c r="AC3" s="34">
        <v>6.4085572830181237E-2</v>
      </c>
    </row>
    <row r="4" spans="1:29" s="1" customFormat="1" ht="65.5" customHeight="1" thickBot="1" x14ac:dyDescent="0.4">
      <c r="A4" s="11">
        <v>3</v>
      </c>
      <c r="B4" s="2" t="s">
        <v>45</v>
      </c>
      <c r="C4" s="2" t="s">
        <v>44</v>
      </c>
      <c r="D4" s="2" t="s">
        <v>43</v>
      </c>
      <c r="E4" s="2" t="s">
        <v>41</v>
      </c>
      <c r="F4" s="2" t="s">
        <v>42</v>
      </c>
      <c r="G4" s="19">
        <v>110000237559</v>
      </c>
      <c r="H4" s="2" t="s">
        <v>40</v>
      </c>
      <c r="I4" s="2" t="s">
        <v>39</v>
      </c>
      <c r="J4" s="2" t="s">
        <v>60</v>
      </c>
      <c r="K4" s="2" t="s">
        <v>38</v>
      </c>
      <c r="L4" s="2" t="s">
        <v>36</v>
      </c>
      <c r="M4" s="21" t="s">
        <v>47</v>
      </c>
      <c r="N4" s="21" t="s">
        <v>49</v>
      </c>
      <c r="O4" s="2" t="s">
        <v>77</v>
      </c>
      <c r="P4" s="43" t="s">
        <v>79</v>
      </c>
      <c r="Q4" s="2" t="s">
        <v>80</v>
      </c>
      <c r="R4" s="23">
        <v>1.25</v>
      </c>
      <c r="S4" s="23">
        <v>1.21</v>
      </c>
      <c r="T4" s="24">
        <v>176436</v>
      </c>
      <c r="U4" s="24">
        <v>1058614</v>
      </c>
      <c r="V4" s="22">
        <f>T4*(S4-R4)</f>
        <v>-7057.440000000006</v>
      </c>
      <c r="W4" s="22">
        <f>U4*(S4-R4)</f>
        <v>-42344.560000000034</v>
      </c>
      <c r="X4" s="22">
        <v>0</v>
      </c>
      <c r="Y4" s="6">
        <v>21595</v>
      </c>
      <c r="Z4" s="6">
        <v>21595</v>
      </c>
      <c r="AA4" s="26">
        <v>68</v>
      </c>
      <c r="AB4" s="33">
        <v>457918</v>
      </c>
      <c r="AC4" s="34">
        <v>1.7268852912792891E-2</v>
      </c>
    </row>
    <row r="5" spans="1:29" s="1" customFormat="1" ht="21" customHeight="1" thickBot="1" x14ac:dyDescent="0.4">
      <c r="A5" s="39"/>
      <c r="B5" s="35"/>
      <c r="C5" s="35"/>
      <c r="D5" s="35"/>
      <c r="E5" s="35"/>
      <c r="F5" s="35"/>
      <c r="G5" s="2"/>
      <c r="H5" s="2"/>
      <c r="I5" s="2"/>
      <c r="J5" s="37"/>
      <c r="K5" s="35"/>
      <c r="L5" s="35"/>
      <c r="M5" s="2"/>
      <c r="N5" s="2"/>
      <c r="O5" s="2"/>
      <c r="P5" s="2"/>
      <c r="Q5" s="2"/>
      <c r="R5" s="4"/>
      <c r="S5" s="4"/>
      <c r="T5" s="5"/>
      <c r="U5" s="5"/>
      <c r="V5" s="6"/>
      <c r="W5" s="6"/>
      <c r="X5" s="6"/>
      <c r="Y5" s="6"/>
      <c r="Z5" s="6"/>
      <c r="AA5" s="4"/>
      <c r="AB5" s="5"/>
      <c r="AC5" s="4"/>
    </row>
    <row r="6" spans="1:29" s="1" customFormat="1" ht="21" customHeight="1" thickBot="1" x14ac:dyDescent="0.4">
      <c r="A6" s="40"/>
      <c r="B6" s="36"/>
      <c r="C6" s="36"/>
      <c r="D6" s="36"/>
      <c r="E6" s="36"/>
      <c r="F6" s="36"/>
      <c r="G6" s="19"/>
      <c r="H6" s="2"/>
      <c r="I6" s="2"/>
      <c r="J6" s="38"/>
      <c r="K6" s="36"/>
      <c r="L6" s="36"/>
      <c r="M6" s="2"/>
      <c r="N6" s="2"/>
      <c r="O6" s="2"/>
      <c r="P6" s="2"/>
      <c r="Q6" s="2"/>
      <c r="R6" s="4"/>
      <c r="S6" s="4"/>
      <c r="T6" s="5"/>
      <c r="U6" s="5"/>
      <c r="V6" s="6"/>
      <c r="W6" s="6"/>
      <c r="X6" s="6"/>
      <c r="Y6" s="6"/>
      <c r="Z6" s="6"/>
      <c r="AA6" s="4"/>
      <c r="AB6" s="5"/>
      <c r="AC6" s="4"/>
    </row>
    <row r="7" spans="1:29" s="1" customFormat="1" ht="21" customHeight="1" thickBot="1" x14ac:dyDescent="0.4">
      <c r="A7" s="1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9"/>
      <c r="R7" s="4"/>
      <c r="S7" s="4"/>
      <c r="T7" s="5"/>
      <c r="U7" s="5"/>
      <c r="V7" s="6"/>
      <c r="W7" s="6"/>
      <c r="X7" s="6"/>
      <c r="Y7" s="6"/>
      <c r="Z7" s="6"/>
      <c r="AA7" s="4"/>
      <c r="AB7" s="5"/>
      <c r="AC7" s="4"/>
    </row>
    <row r="8" spans="1:29" s="1" customFormat="1" ht="54.65" customHeight="1" thickBot="1" x14ac:dyDescent="0.4">
      <c r="A8" s="11"/>
      <c r="B8" s="16"/>
      <c r="C8" s="16"/>
      <c r="D8" s="16"/>
      <c r="E8" s="16"/>
      <c r="F8" s="16"/>
      <c r="G8" s="19"/>
      <c r="H8" s="2"/>
      <c r="I8" s="2"/>
      <c r="J8" s="20"/>
      <c r="K8" s="16"/>
      <c r="L8" s="16"/>
      <c r="M8" s="2"/>
      <c r="N8" s="2"/>
      <c r="O8" s="2"/>
      <c r="P8" s="2"/>
      <c r="Q8" s="2"/>
      <c r="R8" s="4"/>
      <c r="S8" s="4"/>
      <c r="T8" s="5"/>
      <c r="U8" s="5"/>
      <c r="V8" s="6"/>
      <c r="W8" s="6"/>
      <c r="X8" s="6"/>
      <c r="Y8" s="6"/>
      <c r="Z8" s="6"/>
      <c r="AA8" s="4"/>
      <c r="AB8" s="5"/>
      <c r="AC8" s="4"/>
    </row>
    <row r="9" spans="1:29" s="1" customFormat="1" ht="22" customHeight="1" thickBot="1" x14ac:dyDescent="0.4">
      <c r="A9" s="11"/>
      <c r="B9" s="16"/>
      <c r="C9" s="16"/>
      <c r="D9" s="16"/>
      <c r="E9" s="16"/>
      <c r="F9" s="16"/>
      <c r="G9" s="19"/>
      <c r="H9" s="2"/>
      <c r="I9" s="2"/>
      <c r="J9" s="20"/>
      <c r="K9" s="16"/>
      <c r="L9" s="16"/>
      <c r="M9" s="2"/>
      <c r="N9" s="2"/>
      <c r="O9" s="2"/>
      <c r="P9" s="2"/>
      <c r="Q9" s="2"/>
      <c r="R9" s="4"/>
      <c r="S9" s="4"/>
      <c r="T9" s="5"/>
      <c r="U9" s="5"/>
      <c r="V9" s="6"/>
      <c r="W9" s="6"/>
      <c r="X9" s="6"/>
      <c r="Y9" s="6"/>
      <c r="Z9" s="6"/>
      <c r="AA9" s="4"/>
      <c r="AB9" s="5"/>
      <c r="AC9" s="4"/>
    </row>
    <row r="10" spans="1:29" s="1" customFormat="1" ht="22" customHeight="1" thickBot="1" x14ac:dyDescent="0.4">
      <c r="A10" s="11"/>
      <c r="B10" s="16"/>
      <c r="C10" s="16"/>
      <c r="D10" s="16"/>
      <c r="E10" s="16"/>
      <c r="F10" s="16"/>
      <c r="G10" s="19"/>
      <c r="H10" s="2"/>
      <c r="I10" s="2"/>
      <c r="J10" s="20"/>
      <c r="K10" s="16"/>
      <c r="L10" s="16"/>
      <c r="M10" s="2"/>
      <c r="N10" s="2"/>
      <c r="O10" s="2"/>
      <c r="P10" s="2"/>
      <c r="Q10" s="2"/>
      <c r="R10" s="4"/>
      <c r="S10" s="4"/>
      <c r="T10" s="5"/>
      <c r="U10" s="5"/>
      <c r="V10" s="6"/>
      <c r="W10" s="6"/>
      <c r="X10" s="6"/>
      <c r="Y10" s="6"/>
      <c r="Z10" s="6"/>
      <c r="AA10" s="4"/>
      <c r="AB10" s="5"/>
      <c r="AC10" s="4"/>
    </row>
    <row r="11" spans="1:29" s="1" customFormat="1" ht="22" customHeight="1" thickBot="1" x14ac:dyDescent="0.4">
      <c r="A11" s="11"/>
      <c r="B11" s="16"/>
      <c r="C11" s="16"/>
      <c r="D11" s="16"/>
      <c r="E11" s="16"/>
      <c r="F11" s="16"/>
      <c r="G11" s="19"/>
      <c r="H11" s="2"/>
      <c r="I11" s="2"/>
      <c r="J11" s="20"/>
      <c r="K11" s="16"/>
      <c r="L11" s="16"/>
      <c r="M11" s="2"/>
      <c r="N11" s="2"/>
      <c r="O11" s="2"/>
      <c r="P11" s="2"/>
      <c r="Q11" s="2"/>
      <c r="R11" s="4"/>
      <c r="S11" s="4"/>
      <c r="T11" s="5"/>
      <c r="U11" s="5"/>
      <c r="V11" s="6"/>
      <c r="W11" s="6"/>
      <c r="X11" s="6"/>
      <c r="Y11" s="6"/>
      <c r="Z11" s="6"/>
      <c r="AA11" s="4"/>
      <c r="AB11" s="5"/>
      <c r="AC11" s="4"/>
    </row>
    <row r="12" spans="1:29" s="1" customFormat="1" ht="45" customHeight="1" thickBot="1" x14ac:dyDescent="0.4">
      <c r="A12" s="11"/>
      <c r="B12" s="2"/>
      <c r="C12" s="2"/>
      <c r="D12" s="2"/>
      <c r="E12" s="2"/>
      <c r="F12" s="2"/>
      <c r="G12" s="19"/>
      <c r="H12" s="2"/>
      <c r="I12" s="2"/>
      <c r="J12" s="2"/>
      <c r="K12" s="2"/>
      <c r="L12" s="2"/>
      <c r="M12" s="2"/>
      <c r="N12" s="2"/>
      <c r="O12" s="2"/>
      <c r="P12" s="2"/>
      <c r="Q12" s="2"/>
      <c r="R12" s="4"/>
      <c r="S12" s="4"/>
      <c r="T12" s="5"/>
      <c r="U12" s="5"/>
      <c r="V12" s="6"/>
      <c r="W12" s="6"/>
      <c r="X12" s="6"/>
      <c r="Y12" s="6"/>
      <c r="Z12" s="6"/>
      <c r="AA12" s="4"/>
      <c r="AB12" s="5"/>
      <c r="AC12" s="4"/>
    </row>
    <row r="13" spans="1:29" s="1" customFormat="1" ht="41.5" customHeight="1" thickBot="1" x14ac:dyDescent="0.4">
      <c r="A13" s="11"/>
      <c r="B13" s="2"/>
      <c r="C13" s="2"/>
      <c r="D13" s="2"/>
      <c r="E13" s="2"/>
      <c r="F13" s="2"/>
      <c r="G13" s="19"/>
      <c r="H13" s="2"/>
      <c r="I13" s="2"/>
      <c r="J13" s="2"/>
      <c r="K13" s="2"/>
      <c r="L13" s="2"/>
      <c r="M13" s="2"/>
      <c r="N13" s="2"/>
      <c r="O13" s="2"/>
      <c r="P13" s="2"/>
      <c r="Q13" s="2"/>
      <c r="R13" s="4"/>
      <c r="S13" s="4"/>
      <c r="T13" s="5"/>
      <c r="U13" s="5"/>
      <c r="V13" s="6"/>
      <c r="W13" s="6"/>
      <c r="X13" s="6"/>
      <c r="Y13" s="6"/>
      <c r="Z13" s="6"/>
      <c r="AA13" s="2"/>
      <c r="AB13" s="2"/>
      <c r="AC13" s="2"/>
    </row>
    <row r="14" spans="1:29" s="1" customFormat="1" ht="20.149999999999999" customHeight="1" thickBot="1" x14ac:dyDescent="0.4">
      <c r="A14" s="10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4"/>
      <c r="AB14" s="5"/>
      <c r="AC14" s="4"/>
    </row>
    <row r="15" spans="1:29" s="1" customFormat="1" ht="42.65" customHeight="1" x14ac:dyDescent="0.35">
      <c r="A15" s="13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</row>
    <row r="16" spans="1:29" s="1" customFormat="1" ht="42.65" customHeight="1" x14ac:dyDescent="0.35">
      <c r="A16" s="13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</row>
    <row r="17" spans="1:15" s="1" customFormat="1" ht="42.65" customHeight="1" x14ac:dyDescent="0.35">
      <c r="A17" s="13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</row>
    <row r="18" spans="1:15" s="1" customFormat="1" ht="42.65" customHeight="1" x14ac:dyDescent="0.35">
      <c r="A18" s="13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</row>
    <row r="19" spans="1:15" s="1" customFormat="1" ht="42.65" customHeight="1" x14ac:dyDescent="0.35">
      <c r="A19" s="13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</row>
    <row r="20" spans="1:15" s="1" customFormat="1" ht="42.65" customHeight="1" x14ac:dyDescent="0.35">
      <c r="A20" s="13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</row>
    <row r="21" spans="1:15" s="1" customFormat="1" ht="42.65" customHeight="1" x14ac:dyDescent="0.35">
      <c r="A21" s="13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</row>
    <row r="22" spans="1:15" s="1" customFormat="1" ht="42.65" customHeight="1" x14ac:dyDescent="0.35">
      <c r="A22" s="13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spans="1:15" s="1" customFormat="1" ht="42.65" customHeight="1" x14ac:dyDescent="0.35">
      <c r="A23" s="13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  <row r="24" spans="1:15" s="1" customFormat="1" ht="42.65" customHeight="1" x14ac:dyDescent="0.35">
      <c r="A24" s="13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spans="1:15" s="1" customFormat="1" ht="42.65" customHeight="1" x14ac:dyDescent="0.35">
      <c r="A25" s="13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spans="1:15" s="1" customFormat="1" ht="42.65" customHeight="1" x14ac:dyDescent="0.35">
      <c r="A26" s="13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spans="1:15" s="1" customFormat="1" ht="42.65" customHeight="1" x14ac:dyDescent="0.35">
      <c r="A27" s="13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</row>
    <row r="28" spans="1:15" s="1" customFormat="1" ht="42.65" customHeight="1" x14ac:dyDescent="0.35">
      <c r="A28" s="13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</row>
    <row r="29" spans="1:15" s="1" customFormat="1" ht="42.65" customHeight="1" x14ac:dyDescent="0.35">
      <c r="A29" s="13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</row>
    <row r="30" spans="1:15" s="1" customFormat="1" ht="42.65" customHeight="1" x14ac:dyDescent="0.35">
      <c r="A30" s="13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</row>
    <row r="31" spans="1:15" s="1" customFormat="1" ht="42.65" customHeight="1" x14ac:dyDescent="0.35">
      <c r="A31" s="13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spans="1:15" s="1" customFormat="1" ht="42.65" customHeight="1" x14ac:dyDescent="0.35">
      <c r="A32" s="13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</row>
    <row r="33" spans="1:15" s="1" customFormat="1" ht="42.65" customHeight="1" x14ac:dyDescent="0.35">
      <c r="A33" s="13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</row>
    <row r="34" spans="1:15" s="1" customFormat="1" ht="42.65" customHeight="1" x14ac:dyDescent="0.35">
      <c r="A34" s="13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</row>
    <row r="35" spans="1:15" s="1" customFormat="1" ht="42.65" customHeight="1" x14ac:dyDescent="0.35">
      <c r="A35" s="13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</row>
    <row r="36" spans="1:15" s="1" customFormat="1" ht="42.65" customHeight="1" x14ac:dyDescent="0.35">
      <c r="A36" s="13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</row>
    <row r="37" spans="1:15" s="1" customFormat="1" ht="42.65" customHeight="1" x14ac:dyDescent="0.35">
      <c r="A37" s="13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</row>
    <row r="38" spans="1:15" s="1" customFormat="1" ht="42.65" customHeight="1" x14ac:dyDescent="0.35">
      <c r="A38" s="13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</row>
    <row r="39" spans="1:15" s="1" customFormat="1" ht="42.65" customHeight="1" x14ac:dyDescent="0.35">
      <c r="A39" s="13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</row>
  </sheetData>
  <mergeCells count="9">
    <mergeCell ref="F5:F6"/>
    <mergeCell ref="J5:J6"/>
    <mergeCell ref="K5:K6"/>
    <mergeCell ref="L5:L6"/>
    <mergeCell ref="A5:A6"/>
    <mergeCell ref="B5:B6"/>
    <mergeCell ref="C5:C6"/>
    <mergeCell ref="D5:D6"/>
    <mergeCell ref="E5:E6"/>
  </mergeCells>
  <conditionalFormatting sqref="Z5:Z1048576 Z1:Z3 V1:V1048576">
    <cfRule type="cellIs" dxfId="2" priority="3" operator="lessThan">
      <formula>0</formula>
    </cfRule>
  </conditionalFormatting>
  <conditionalFormatting sqref="W2:W4">
    <cfRule type="cellIs" dxfId="1" priority="2" operator="lessThan">
      <formula>0</formula>
    </cfRule>
  </conditionalFormatting>
  <conditionalFormatting sqref="AA1">
    <cfRule type="cellIs" dxfId="0" priority="1" operator="lessThan">
      <formula>0</formula>
    </cfRule>
  </conditionalFormatting>
  <pageMargins left="0.7" right="0.7" top="0.75" bottom="0.75" header="0.3" footer="0.3"/>
  <pageSetup paperSize="17" scale="71" fitToHeight="0" orientation="landscape" r:id="rId1"/>
  <customProperties>
    <customPr name="_pios_id" r:id="rId2"/>
    <customPr name="IbpWorksheetKeyString_GUID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7182-4A82-4CCA-B584-3A1360B37278}">
  <dimension ref="A1"/>
  <sheetViews>
    <sheetView workbookViewId="0">
      <selection activeCell="N20" sqref="N2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0E718-F498-442F-BEE1-51889BEBADC0}">
  <dimension ref="A1:U28"/>
  <sheetViews>
    <sheetView workbookViewId="0">
      <selection activeCell="O30" sqref="O30"/>
    </sheetView>
  </sheetViews>
  <sheetFormatPr defaultRowHeight="14.5" x14ac:dyDescent="0.35"/>
  <cols>
    <col min="16" max="16" width="19" customWidth="1"/>
    <col min="17" max="17" width="14.54296875" customWidth="1"/>
    <col min="18" max="18" width="22.1796875" customWidth="1"/>
    <col min="19" max="19" width="17.7265625" customWidth="1"/>
  </cols>
  <sheetData>
    <row r="1" spans="1:21" x14ac:dyDescent="0.35">
      <c r="P1" t="s">
        <v>64</v>
      </c>
      <c r="Q1" s="30" t="s">
        <v>69</v>
      </c>
      <c r="R1" s="30" t="s">
        <v>65</v>
      </c>
      <c r="S1" s="30" t="s">
        <v>66</v>
      </c>
      <c r="T1" s="30" t="s">
        <v>67</v>
      </c>
      <c r="U1" s="18" t="s">
        <v>70</v>
      </c>
    </row>
    <row r="2" spans="1:21" x14ac:dyDescent="0.35">
      <c r="A2" s="25"/>
      <c r="P2" t="s">
        <v>63</v>
      </c>
      <c r="Q2" s="31">
        <v>5524133</v>
      </c>
      <c r="R2" s="31">
        <f>140587</f>
        <v>140587</v>
      </c>
      <c r="S2" s="31">
        <v>40114</v>
      </c>
      <c r="T2" s="32">
        <f>R2+S2</f>
        <v>180701</v>
      </c>
      <c r="U2" s="29">
        <f>T2/Q2</f>
        <v>3.2711196490019336E-2</v>
      </c>
    </row>
    <row r="4" spans="1:21" x14ac:dyDescent="0.35">
      <c r="A4" s="25"/>
    </row>
    <row r="6" spans="1:21" x14ac:dyDescent="0.35">
      <c r="A6" s="25"/>
    </row>
    <row r="8" spans="1:21" x14ac:dyDescent="0.35">
      <c r="A8" s="25"/>
    </row>
    <row r="16" spans="1:21" x14ac:dyDescent="0.35">
      <c r="P16" t="s">
        <v>68</v>
      </c>
      <c r="Q16" s="31">
        <v>11366318</v>
      </c>
      <c r="R16" s="28">
        <v>709324</v>
      </c>
      <c r="S16" s="28">
        <v>19093</v>
      </c>
      <c r="T16" s="32">
        <f>R16+S16</f>
        <v>728417</v>
      </c>
      <c r="U16" s="29">
        <f>T16/Q16</f>
        <v>6.4085572830181237E-2</v>
      </c>
    </row>
    <row r="28" spans="16:21" x14ac:dyDescent="0.35">
      <c r="P28" t="s">
        <v>71</v>
      </c>
      <c r="Q28" s="28">
        <v>26516990</v>
      </c>
      <c r="R28" s="28">
        <v>428748</v>
      </c>
      <c r="S28" s="28">
        <v>29170</v>
      </c>
      <c r="T28" s="32">
        <f>R28+S28</f>
        <v>457918</v>
      </c>
      <c r="U28" s="29">
        <f>T28/Q28</f>
        <v>1.7268852912792891E-2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2AE94798D0E7D4487CB84FC9A87565D" ma:contentTypeVersion="3" ma:contentTypeDescription="Ein neues Dokument erstellen." ma:contentTypeScope="" ma:versionID="33e5b9f17f564444262d10d195f80364">
  <xsd:schema xmlns:xsd="http://www.w3.org/2001/XMLSchema" xmlns:xs="http://www.w3.org/2001/XMLSchema" xmlns:p="http://schemas.microsoft.com/office/2006/metadata/properties" xmlns:ns2="c58f02bd-e0b7-474b-a2bc-9a19f162f3a8" targetNamespace="http://schemas.microsoft.com/office/2006/metadata/properties" ma:root="true" ma:fieldsID="d564844f0ef82412df5d67f75bfd6bd4" ns2:_="">
    <xsd:import namespace="c58f02bd-e0b7-474b-a2bc-9a19f162f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f02bd-e0b7-474b-a2bc-9a19f162f3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DE2DBF-D6BE-44FE-A464-751AD0D1BBCF}"/>
</file>

<file path=customXml/itemProps2.xml><?xml version="1.0" encoding="utf-8"?>
<ds:datastoreItem xmlns:ds="http://schemas.openxmlformats.org/officeDocument/2006/customXml" ds:itemID="{FB011FFE-AD61-438F-9A94-4AD8D4B97BBC}"/>
</file>

<file path=customXml/itemProps3.xml><?xml version="1.0" encoding="utf-8"?>
<ds:datastoreItem xmlns:ds="http://schemas.openxmlformats.org/officeDocument/2006/customXml" ds:itemID="{D585BED1-8A99-4EDC-9C4C-7A3B5DC3B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KW41, 2025</vt:lpstr>
      <vt:lpstr>Supplier Score Card</vt:lpstr>
      <vt:lpstr>Saving Performance</vt:lpstr>
    </vt:vector>
  </TitlesOfParts>
  <Manager/>
  <Company>RVNA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Xiangwei Chen ALF RPSBE1</dc:creator>
  <cp:keywords/>
  <dc:description/>
  <cp:lastModifiedBy>Xiangwei Chen ALF RPSBE1</cp:lastModifiedBy>
  <cp:revision/>
  <dcterms:created xsi:type="dcterms:W3CDTF">2025-09-02T13:26:50Z</dcterms:created>
  <dcterms:modified xsi:type="dcterms:W3CDTF">2025-10-08T12:42:21Z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557171-d5a2-4c27-b720-d0ccc7e87f50_Enabled">
    <vt:lpwstr>true</vt:lpwstr>
  </property>
  <property fmtid="{D5CDD505-2E9C-101B-9397-08002B2CF9AE}" pid="3" name="MSIP_Label_1b557171-d5a2-4c27-b720-d0ccc7e87f50_SetDate">
    <vt:lpwstr>2025-09-02T13:33:29Z</vt:lpwstr>
  </property>
  <property fmtid="{D5CDD505-2E9C-101B-9397-08002B2CF9AE}" pid="4" name="MSIP_Label_1b557171-d5a2-4c27-b720-d0ccc7e87f50_Method">
    <vt:lpwstr>Privileged</vt:lpwstr>
  </property>
  <property fmtid="{D5CDD505-2E9C-101B-9397-08002B2CF9AE}" pid="5" name="MSIP_Label_1b557171-d5a2-4c27-b720-d0ccc7e87f50_Name">
    <vt:lpwstr>RVNA Confidential Sub_2</vt:lpwstr>
  </property>
  <property fmtid="{D5CDD505-2E9C-101B-9397-08002B2CF9AE}" pid="6" name="MSIP_Label_1b557171-d5a2-4c27-b720-d0ccc7e87f50_SiteId">
    <vt:lpwstr>87f9dc52-94b9-4266-8431-8be91e1f699c</vt:lpwstr>
  </property>
  <property fmtid="{D5CDD505-2E9C-101B-9397-08002B2CF9AE}" pid="7" name="MSIP_Label_1b557171-d5a2-4c27-b720-d0ccc7e87f50_ActionId">
    <vt:lpwstr>9560bc8f-fcd9-47ac-b9f2-f7340a6dea54</vt:lpwstr>
  </property>
  <property fmtid="{D5CDD505-2E9C-101B-9397-08002B2CF9AE}" pid="8" name="MSIP_Label_1b557171-d5a2-4c27-b720-d0ccc7e87f50_ContentBits">
    <vt:lpwstr>1</vt:lpwstr>
  </property>
  <property fmtid="{D5CDD505-2E9C-101B-9397-08002B2CF9AE}" pid="9" name="CustomUiType">
    <vt:lpwstr>2</vt:lpwstr>
  </property>
  <property fmtid="{D5CDD505-2E9C-101B-9397-08002B2CF9AE}" pid="10" name="IbpWorkbookKeyString_GUID">
    <vt:lpwstr>c7b7ae5a-f3f0-43ee-b73c-55769b880291</vt:lpwstr>
  </property>
  <property fmtid="{D5CDD505-2E9C-101B-9397-08002B2CF9AE}" pid="11" name="ContentTypeId">
    <vt:lpwstr>0x010100D2AE94798D0E7D4487CB84FC9A87565D</vt:lpwstr>
  </property>
</Properties>
</file>