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Sourcing Alignment Committee/KW42, 16.10.2025/"/>
    </mc:Choice>
  </mc:AlternateContent>
  <xr:revisionPtr revIDLastSave="7" documentId="8_{C45C430B-B83F-49E2-AE5C-6E5F21991383}" xr6:coauthVersionLast="47" xr6:coauthVersionMax="47" xr10:uidLastSave="{DE782E6C-E8F5-4A9E-99E4-AC750D3C127B}"/>
  <bookViews>
    <workbookView xWindow="28680" yWindow="-120" windowWidth="29040" windowHeight="15720" xr2:uid="{00000000-000D-0000-FFFF-FFFF00000000}"/>
  </bookViews>
  <sheets>
    <sheet name="KW42, 2025" sheetId="4" r:id="rId1"/>
  </sheets>
  <calcPr calcId="191029" concurrentManualCount="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 i="4" l="1"/>
  <c r="W4" i="4"/>
  <c r="V4" i="4"/>
  <c r="Z3" i="4"/>
  <c r="W3" i="4"/>
  <c r="V3" i="4"/>
  <c r="W2" i="4"/>
  <c r="V2" i="4"/>
  <c r="Z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tc={B49B041D-D331-4958-B5A2-0C7CC9EF8EF2}</author>
    <author>tc={3F3271EC-D70C-4FAA-AE78-259E9A96EF33}</author>
    <author>tc={13878A19-4B82-423C-8992-3B705238A590}</author>
    <author>tc={56EA3D50-3EB6-48B0-9C09-7B84A75E3194}</author>
    <author>tc={BCED0A4B-FE51-400B-AD35-416EB7BA810C}</author>
    <author>tc={6B9B7E8B-8335-43A6-AD7B-CF91E0464587}</author>
  </authors>
  <commentList>
    <comment ref="J7" authorId="0" shapeId="0" xr:uid="{B49B041D-D331-4958-B5A2-0C7CC9EF8EF2}">
      <text>
        <t xml:space="preserve">[Threaded comment]
Your version of Excel allows you to read this threaded comment; however, any edits to it will get removed if the file is opened in a newer version of Excel. Learn more: https://go.microsoft.com/fwlink/?linkid=870924
Comment:
    Can wait, 
LAD 25.09.2025, 
FOT 17.04.2026,
PPAP 28.08.2026, 
SOP 23.08.2027, </t>
      </text>
    </comment>
    <comment ref="J8" authorId="1" shapeId="0" xr:uid="{3F3271EC-D70C-4FAA-AE78-259E9A96EF33}">
      <text>
        <t xml:space="preserve">[Threaded comment]
Your version of Excel allows you to read this threaded comment; however, any edits to it will get removed if the file is opened in a newer version of Excel. Learn more: https://go.microsoft.com/fwlink/?linkid=870924
Comment:
    CO with current supplier
same pc price, no new tool investment
</t>
      </text>
    </comment>
    <comment ref="J9" authorId="2" shapeId="0" xr:uid="{13878A19-4B82-423C-8992-3B705238A590}">
      <text>
        <t>[Threaded comment]
Your version of Excel allows you to read this threaded comment; however, any edits to it will get removed if the file is opened in a newer version of Excel. Learn more: https://go.microsoft.com/fwlink/?linkid=870924
Comment:
    CO with current supplier</t>
      </text>
    </comment>
    <comment ref="J10" authorId="3" shapeId="0" xr:uid="{56EA3D50-3EB6-48B0-9C09-7B84A75E3194}">
      <text>
        <t xml:space="preserve">[Threaded comment]
Your version of Excel allows you to read this threaded comment; however, any edits to it will get removed if the file is opened in a newer version of Excel. Learn more: https://go.microsoft.com/fwlink/?linkid=870924
Comment:
    CO with current supplier
Same pc price, no new tool investment
</t>
      </text>
    </comment>
    <comment ref="J11" authorId="4" shapeId="0" xr:uid="{BCED0A4B-FE51-400B-AD35-416EB7BA810C}">
      <text>
        <t xml:space="preserve">[Threaded comment]
Your version of Excel allows you to read this threaded comment; however, any edits to it will get removed if the file is opened in a newer version of Excel. Learn more: https://go.microsoft.com/fwlink/?linkid=870924
Comment:
    CO with current supplier
tool refurbishment
</t>
      </text>
    </comment>
    <comment ref="J12" authorId="5" shapeId="0" xr:uid="{6B9B7E8B-8335-43A6-AD7B-CF91E0464587}">
      <text>
        <t xml:space="preserve">[Threaded comment]
Your version of Excel allows you to read this threaded comment; however, any edits to it will get removed if the file is opened in a newer version of Excel. Learn more: https://go.microsoft.com/fwlink/?linkid=870924
Comment:
    CO with current supplier
tool refurbishment
</t>
      </text>
    </comment>
  </commentList>
</comments>
</file>

<file path=xl/sharedStrings.xml><?xml version="1.0" encoding="utf-8"?>
<sst xmlns="http://schemas.openxmlformats.org/spreadsheetml/2006/main" count="74" uniqueCount="67">
  <si>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</si>
  <si>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</si>
  <si>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</si>
  <si>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</si>
  <si>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</si>
  <si>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</si>
  <si>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</si>
  <si>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</si>
  <si>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</si>
  <si>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</si>
  <si>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</si>
  <si>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</si>
  <si>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</si>
  <si>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</si>
  <si>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</si>
  <si>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</si>
  <si>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</si>
  <si>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</si>
  <si>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</si>
  <si>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</si>
  <si>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</si>
  <si>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</si>
  <si>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</si>
  <si>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</si>
  <si>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</si>
  <si>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L3</t>
  </si>
  <si>
    <t>Comment</t>
  </si>
  <si>
    <t>NA</t>
  </si>
  <si>
    <t>CO</t>
  </si>
  <si>
    <t>SC06007</t>
  </si>
  <si>
    <t>SC06</t>
  </si>
  <si>
    <t>110000032228</t>
  </si>
  <si>
    <t>HOUSING, RETRACTOR-PRETENSIONER</t>
  </si>
  <si>
    <t>A028R630B</t>
  </si>
  <si>
    <t>Takeda Wuxi Automotive Component</t>
  </si>
  <si>
    <t>Wendy Li</t>
  </si>
  <si>
    <t>L2</t>
  </si>
  <si>
    <t>464.484 USD</t>
  </si>
  <si>
    <t>3.268.866 USD</t>
  </si>
  <si>
    <t>110000032010</t>
  </si>
  <si>
    <t>A025A230A</t>
  </si>
  <si>
    <t>RING, RETRACTOR SPOOL ROLL-FORMING</t>
  </si>
  <si>
    <t>SPR6.1
Program NCAR, R2, T1 SUV, T2 SUV</t>
  </si>
  <si>
    <t>SC06004</t>
  </si>
  <si>
    <t>Shanghai Qilong Industrial Co.,</t>
  </si>
  <si>
    <t>145.370 USD</t>
  </si>
  <si>
    <t>1.018.300 USD</t>
  </si>
  <si>
    <t>SPR6.1
Programs: NCAR, R2, T1 SUV, T2 SUV</t>
  </si>
  <si>
    <t>EU</t>
  </si>
  <si>
    <t>New Part</t>
  </si>
  <si>
    <t xml:space="preserve">VW T9 </t>
  </si>
  <si>
    <t>CH01</t>
  </si>
  <si>
    <t>CH01012</t>
  </si>
  <si>
    <t>110000032740</t>
  </si>
  <si>
    <t>AP3 boot</t>
  </si>
  <si>
    <t>R002U487A</t>
  </si>
  <si>
    <t>Shanghai Jinglei CN</t>
  </si>
  <si>
    <t>Viridiana Gomez</t>
  </si>
  <si>
    <t>2.138.084 EUR</t>
  </si>
  <si>
    <t>354.308 EUR</t>
  </si>
  <si>
    <t>Make vs Buy</t>
  </si>
  <si>
    <t>On hold for further clarification, action PP</t>
  </si>
  <si>
    <t xml:space="preserve">1. PPAP 21.09.2026
2. to implement first for VW T9 after SOP and then implement as well for running VW T7/T8 business – to replace current AP3 boot 34149266B Kwangduck Poland Sp. Z o.o. – new boot with improved design to avoid further PPACs issues </t>
  </si>
  <si>
    <t>Approved</t>
  </si>
  <si>
    <r>
      <t xml:space="preserve">1. Röchling not sticking to original timing plan for heat belt, charges LT additional 15K Euro to keep original PPAP timing. Not acceptable. Just FYI.
2. Röchling tooling cost to be challenged, improvement expected to be eligable for future biz nomination. - </t>
    </r>
    <r>
      <rPr>
        <b/>
        <sz val="8"/>
        <color rgb="FF000000"/>
        <rFont val="Arial"/>
        <family val="2"/>
      </rPr>
      <t>CM</t>
    </r>
    <r>
      <rPr>
        <sz val="8"/>
        <color rgb="FF000000"/>
        <rFont val="Arial"/>
        <family val="2"/>
      </rPr>
      <t xml:space="preserve">
3. CBAM impact to be evaluated - </t>
    </r>
    <r>
      <rPr>
        <b/>
        <sz val="8"/>
        <color rgb="FF000000"/>
        <rFont val="Arial"/>
        <family val="2"/>
      </rPr>
      <t>SUS team, PP Summer to double check with SUS team</t>
    </r>
  </si>
  <si>
    <r>
      <t>1. Inhouse MF cost</t>
    </r>
    <r>
      <rPr>
        <b/>
        <sz val="8"/>
        <color rgb="FF000000"/>
        <rFont val="Arial"/>
        <family val="2"/>
      </rPr>
      <t xml:space="preserve"> $0.4048 </t>
    </r>
    <r>
      <rPr>
        <sz val="8"/>
        <color rgb="FF000000"/>
        <rFont val="Arial"/>
        <family val="2"/>
      </rPr>
      <t xml:space="preserve">(50% of Fixed Burden Rate of Mfg Cost) shared by PP Brandon
2. To calculate USMCA %, if USMCA% are to be improved, cost acceptance from customer to be requested </t>
    </r>
    <r>
      <rPr>
        <b/>
        <sz val="8"/>
        <color rgb="FF000000"/>
        <rFont val="Arial"/>
        <family val="2"/>
      </rPr>
      <t>- PP Mario</t>
    </r>
    <r>
      <rPr>
        <sz val="8"/>
        <color rgb="FF000000"/>
        <rFont val="Arial"/>
        <family val="2"/>
      </rPr>
      <t xml:space="preserve">
3. To challenge Midland inhouse cost, in order to improve NA localization rate and to improve NA competitiveness  </t>
    </r>
    <r>
      <rPr>
        <b/>
        <sz val="8"/>
        <color rgb="FF000000"/>
        <rFont val="Arial"/>
        <family val="2"/>
      </rPr>
      <t>- PP Mario, Carrie</t>
    </r>
    <r>
      <rPr>
        <sz val="8"/>
        <color rgb="FF000000"/>
        <rFont val="Arial"/>
        <family val="2"/>
      </rPr>
      <t xml:space="preserve">
4. Alfdorf as back up solution, Only FYI</t>
    </r>
  </si>
  <si>
    <r>
      <t>1. Inhouse MF cost</t>
    </r>
    <r>
      <rPr>
        <b/>
        <sz val="8"/>
        <color rgb="FF000000"/>
        <rFont val="Arial"/>
        <family val="2"/>
      </rPr>
      <t xml:space="preserve"> $0.1727 (</t>
    </r>
    <r>
      <rPr>
        <sz val="8"/>
        <color rgb="FF000000"/>
        <rFont val="Arial"/>
        <family val="2"/>
      </rPr>
      <t xml:space="preserve">50% of Fixed Burden Rate of Mfg Cost) to be double checked and shared </t>
    </r>
    <r>
      <rPr>
        <b/>
        <sz val="8"/>
        <color rgb="FF000000"/>
        <rFont val="Arial"/>
        <family val="2"/>
      </rPr>
      <t>- PP Brandon/ Mario to get from Operations or PM.</t>
    </r>
    <r>
      <rPr>
        <sz val="8"/>
        <color rgb="FF000000"/>
        <rFont val="Arial"/>
        <family val="2"/>
      </rPr>
      <t xml:space="preserve">
2. To calculate USMCA %, if USMCA% are to be improved, cost acceptance from customer to be requested </t>
    </r>
    <r>
      <rPr>
        <b/>
        <sz val="8"/>
        <color rgb="FF000000"/>
        <rFont val="Arial"/>
        <family val="2"/>
      </rPr>
      <t>- PP Mario</t>
    </r>
    <r>
      <rPr>
        <sz val="8"/>
        <color rgb="FF000000"/>
        <rFont val="Arial"/>
        <family val="2"/>
      </rPr>
      <t xml:space="preserve">
3. To challenge Midland inhouse cost, in order to improve NA localization rate and to NA improve competitiveness  </t>
    </r>
    <r>
      <rPr>
        <b/>
        <sz val="8"/>
        <color rgb="FF000000"/>
        <rFont val="Arial"/>
        <family val="2"/>
      </rPr>
      <t>- PP Mario, Carrie</t>
    </r>
    <r>
      <rPr>
        <sz val="8"/>
        <color rgb="FF000000"/>
        <rFont val="Arial"/>
        <family val="2"/>
      </rPr>
      <t xml:space="preserve">
Targeting Midland to achieve ALFDORF cost level, so we can target Midland for this part
4. Make vs Buy strategy to be defined for Midland --&gt;to define parts to be made by Midland </t>
    </r>
    <r>
      <rPr>
        <b/>
        <sz val="8"/>
        <color rgb="FF000000"/>
        <rFont val="Arial"/>
        <family val="2"/>
      </rPr>
      <t>- BU, Carrie to review with BU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</si>
</sst>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0\ [$EUR]"/>
    <numFmt numFmtId="165" formatCode="#,##0\ [$EUR]"/>
    <numFmt numFmtId="166" formatCode="#,##0.0000\ [$USD]"/>
    <numFmt numFmtId="167" formatCode="#,##0\ [$USD]"/>
    <numFmt numFmtId="168" formatCode="#,##0.00\ &quot;€&quot;"/>
    <numFmt numFmtId="169" formatCode="#,##0.0000\ [$EUR]"/>
  </numFmts>
  <fonts count="7" x14ac:knownFonts="1">
    <font>
      <sz val="11"/>
      <color theme="1"/>
      <name val="Calibri"/>
      <family val="2"/>
      <scheme val="minor"/>
    </font>
    <font>
      <sz val="8"/>
      <color rgb="FF000000"/>
      <name val="Arial"/>
      <family val="2"/>
    </font>
    <font>
      <b/>
      <sz val="8"/>
      <color rgb="FFFFFFFF"/>
      <name val="Arial"/>
      <family val="2"/>
    </font>
    <font>
      <sz val="11"/>
      <color theme="1"/>
      <name val="Calibri"/>
      <family val="2"/>
      <scheme val="minor"/>
    </font>
    <font>
      <b/>
      <sz val="8"/>
      <color rgb="FF000000"/>
      <name val="Arial"/>
      <family val="2"/>
    </font>
    <font>
      <b/>
      <sz val="8"/>
      <color rgb="FF00B050"/>
      <name val="Arial"/>
      <family val="2"/>
    </font>
    <font>
      <b/>
      <sz val="8"/>
      <color theme="7" tint="-0.249977111117893"/>
      <name val="Arial"/>
      <family val="2"/>
    </font>
  </fonts>
  <fills count="5">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s>
  <borders count="6">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top/>
      <bottom style="medium">
        <color theme="0"/>
      </bottom>
      <diagonal/>
    </border>
    <border>
      <left/>
      <right/>
      <top/>
      <bottom style="medium">
        <color theme="0"/>
      </bottom>
      <diagonal/>
    </border>
  </borders>
  <cellStyleXfs count="2">
    <xf numFmtId="0" fontId="0" fillId="0" borderId="0"/>
    <xf numFmtId="43" fontId="3" fillId="0" borderId="0" applyFont="0" applyFill="0" applyBorder="0" applyAlignment="0" applyProtection="0"/>
  </cellStyleXfs>
  <cellXfs count="32">
    <xf numFmtId="0" fontId="0" fillId="0" borderId="0" xfId="0"/>
    <xf numFmtId="0" fontId="0" fillId="0" borderId="0" xfId="0" applyAlignment="1">
      <alignment wrapText="1"/>
    </xf>
    <xf numFmtId="0" fontId="1" fillId="3" borderId="3" xfId="0" quotePrefix="1" applyFont="1" applyFill="1" applyBorder="1" applyAlignment="1">
      <alignment horizontal="left" vertical="center" wrapText="1" readingOrder="1"/>
    </xf>
    <xf numFmtId="0" fontId="2" fillId="2" borderId="1" xfId="0" applyFont="1" applyFill="1" applyBorder="1" applyAlignment="1">
      <alignment vertical="center" wrapText="1" readingOrder="1"/>
    </xf>
    <xf numFmtId="164" fontId="1" fillId="3" borderId="3" xfId="0" quotePrefix="1" applyNumberFormat="1" applyFont="1" applyFill="1" applyBorder="1" applyAlignment="1">
      <alignment horizontal="left" vertical="center" wrapText="1" readingOrder="1"/>
    </xf>
    <xf numFmtId="3" fontId="1" fillId="3" borderId="3" xfId="0" quotePrefix="1" applyNumberFormat="1" applyFont="1" applyFill="1" applyBorder="1" applyAlignment="1">
      <alignment horizontal="left" vertical="center" wrapText="1" readingOrder="1"/>
    </xf>
    <xf numFmtId="165" fontId="1" fillId="3" borderId="3" xfId="0" quotePrefix="1" applyNumberFormat="1" applyFont="1" applyFill="1" applyBorder="1" applyAlignment="1">
      <alignment horizontal="left" vertical="center" wrapText="1" readingOrder="1"/>
    </xf>
    <xf numFmtId="0" fontId="2" fillId="4" borderId="1" xfId="0" applyFont="1" applyFill="1" applyBorder="1" applyAlignment="1">
      <alignment horizontal="left" vertical="center" wrapText="1" readingOrder="1"/>
    </xf>
    <xf numFmtId="0" fontId="2" fillId="4" borderId="2" xfId="0" applyFont="1" applyFill="1" applyBorder="1" applyAlignment="1">
      <alignment horizontal="left" vertical="center" wrapText="1" readingOrder="1"/>
    </xf>
    <xf numFmtId="0" fontId="1" fillId="3" borderId="3" xfId="0" quotePrefix="1" applyFont="1" applyFill="1" applyBorder="1" applyAlignment="1">
      <alignment horizontal="left" vertical="top" wrapText="1" readingOrder="1"/>
    </xf>
    <xf numFmtId="0" fontId="1" fillId="3" borderId="3" xfId="0" quotePrefix="1" applyFont="1" applyFill="1" applyBorder="1" applyAlignment="1">
      <alignment horizontal="center" vertical="center" wrapText="1" readingOrder="1"/>
    </xf>
    <xf numFmtId="0" fontId="1" fillId="3" borderId="4" xfId="0" quotePrefix="1" applyFont="1" applyFill="1" applyBorder="1" applyAlignment="1">
      <alignment horizontal="center" vertical="center" wrapText="1" readingOrder="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0" fontId="2" fillId="2" borderId="1" xfId="0" applyFont="1" applyFill="1" applyBorder="1" applyAlignment="1">
      <alignment horizontal="left" vertical="center" wrapText="1" readingOrder="1"/>
    </xf>
    <xf numFmtId="0" fontId="1" fillId="3" borderId="4" xfId="0" quotePrefix="1" applyFont="1" applyFill="1" applyBorder="1" applyAlignment="1">
      <alignment horizontal="left" vertical="center" wrapText="1" readingOrder="1"/>
    </xf>
    <xf numFmtId="0" fontId="0" fillId="0" borderId="0" xfId="0" applyAlignment="1">
      <alignment horizontal="left" wrapText="1"/>
    </xf>
    <xf numFmtId="0" fontId="0" fillId="0" borderId="0" xfId="0" applyAlignment="1">
      <alignment horizontal="left"/>
    </xf>
    <xf numFmtId="1" fontId="1" fillId="3" borderId="3" xfId="0" quotePrefix="1" applyNumberFormat="1" applyFont="1" applyFill="1" applyBorder="1" applyAlignment="1">
      <alignment horizontal="left" vertical="center" wrapText="1" readingOrder="1"/>
    </xf>
    <xf numFmtId="0" fontId="1" fillId="3" borderId="5" xfId="0" quotePrefix="1" applyFont="1" applyFill="1" applyBorder="1" applyAlignment="1">
      <alignment horizontal="left" vertical="center" wrapText="1" readingOrder="1"/>
    </xf>
    <xf numFmtId="0" fontId="1" fillId="3" borderId="3" xfId="0" quotePrefix="1" applyFont="1" applyFill="1" applyBorder="1" applyAlignment="1">
      <alignment horizontal="right" vertical="center" wrapText="1" readingOrder="1"/>
    </xf>
    <xf numFmtId="43" fontId="1" fillId="3" borderId="3" xfId="1" quotePrefix="1" applyFont="1" applyFill="1" applyBorder="1" applyAlignment="1">
      <alignment horizontal="right" vertical="center" wrapText="1" readingOrder="1"/>
    </xf>
    <xf numFmtId="166" fontId="1" fillId="3" borderId="3" xfId="0" quotePrefix="1" applyNumberFormat="1" applyFont="1" applyFill="1" applyBorder="1" applyAlignment="1">
      <alignment horizontal="right" vertical="center" wrapText="1" readingOrder="1"/>
    </xf>
    <xf numFmtId="3" fontId="1" fillId="3" borderId="3" xfId="0" quotePrefix="1" applyNumberFormat="1" applyFont="1" applyFill="1" applyBorder="1" applyAlignment="1">
      <alignment horizontal="right" vertical="center" wrapText="1" readingOrder="1"/>
    </xf>
    <xf numFmtId="167" fontId="1" fillId="3" borderId="3" xfId="0" quotePrefix="1" applyNumberFormat="1" applyFont="1" applyFill="1" applyBorder="1" applyAlignment="1">
      <alignment horizontal="right" vertical="center" wrapText="1" readingOrder="1"/>
    </xf>
    <xf numFmtId="0" fontId="0" fillId="0" borderId="0" xfId="0" applyAlignment="1">
      <alignment horizontal="right" wrapText="1"/>
    </xf>
    <xf numFmtId="165" fontId="1" fillId="3" borderId="3" xfId="0" quotePrefix="1" applyNumberFormat="1" applyFont="1" applyFill="1" applyBorder="1" applyAlignment="1">
      <alignment horizontal="right" vertical="center" wrapText="1" readingOrder="1"/>
    </xf>
    <xf numFmtId="168" fontId="1" fillId="3" borderId="3" xfId="0" quotePrefix="1" applyNumberFormat="1" applyFont="1" applyFill="1" applyBorder="1" applyAlignment="1">
      <alignment horizontal="right" vertical="center" wrapText="1" readingOrder="1"/>
    </xf>
    <xf numFmtId="169" fontId="1" fillId="3" borderId="3" xfId="0" quotePrefix="1" applyNumberFormat="1" applyFont="1" applyFill="1" applyBorder="1" applyAlignment="1">
      <alignment horizontal="right" vertical="center" wrapText="1" readingOrder="1"/>
    </xf>
    <xf numFmtId="0" fontId="5" fillId="3" borderId="3" xfId="0" quotePrefix="1" applyFont="1" applyFill="1" applyBorder="1" applyAlignment="1">
      <alignment horizontal="center" vertical="center" wrapText="1" readingOrder="1"/>
    </xf>
    <xf numFmtId="0" fontId="6" fillId="3" borderId="3" xfId="0" quotePrefix="1" applyFont="1" applyFill="1" applyBorder="1" applyAlignment="1">
      <alignment horizontal="center" vertical="center" wrapText="1" readingOrder="1"/>
    </xf>
  </cellXfs>
  <cellStyles count="2">
    <cellStyle name="Comma" xfId="1" builtinId="3"/>
    <cellStyle name="Normal" xfId="0" builtinId="0"/>
  </cellStyles>
  <dxfs count="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Xiangwei Chen ALF RPSBE1" id="{6EB2C5E6-4D3C-4637-9849-E5EB5DCED248}" userId="S::xiangwei.chen@zf-lifetec.com::23759faa-b675-4288-af44-d36df42352b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7" dT="2025-09-16T18:56:40.40" personId="{6EB2C5E6-4D3C-4637-9849-E5EB5DCED248}" id="{B49B041D-D331-4958-B5A2-0C7CC9EF8EF2}">
    <text xml:space="preserve">Can wait, 
LAD 25.09.2025, 
FOT 17.04.2026,
PPAP 28.08.2026, 
SOP 23.08.2027, </text>
  </threadedComment>
  <threadedComment ref="J8" dT="2025-09-16T18:44:13.33" personId="{6EB2C5E6-4D3C-4637-9849-E5EB5DCED248}" id="{3F3271EC-D70C-4FAA-AE78-259E9A96EF33}">
    <text xml:space="preserve">CO with current supplier
same pc price, no new tool investment
</text>
  </threadedComment>
  <threadedComment ref="J9" dT="2025-09-16T18:54:27.57" personId="{6EB2C5E6-4D3C-4637-9849-E5EB5DCED248}" id="{13878A19-4B82-423C-8992-3B705238A590}">
    <text>CO with current supplier</text>
  </threadedComment>
  <threadedComment ref="J10" dT="2025-09-16T18:44:59.85" personId="{6EB2C5E6-4D3C-4637-9849-E5EB5DCED248}" id="{56EA3D50-3EB6-48B0-9C09-7B84A75E3194}">
    <text xml:space="preserve">CO with current supplier
Same pc price, no new tool investment
</text>
  </threadedComment>
  <threadedComment ref="J11" dT="2025-09-16T18:58:40.55" personId="{6EB2C5E6-4D3C-4637-9849-E5EB5DCED248}" id="{BCED0A4B-FE51-400B-AD35-416EB7BA810C}">
    <text xml:space="preserve">CO with current supplier
tool refurbishment
</text>
  </threadedComment>
  <threadedComment ref="J12" dT="2025-09-16T19:00:22.25" personId="{6EB2C5E6-4D3C-4637-9849-E5EB5DCED248}" id="{6B9B7E8B-8335-43A6-AD7B-CF91E0464587}">
    <text xml:space="preserve">CO with current supplier
tool refurbishment
</text>
  </threadedComment>
</ThreadedComments>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sheetPr>
    <pageSetUpPr fitToPage="1"/>
  </sheetPr>
  <dimension ref="A1:AB38"/>
  <sheetViews>
    <sheetView tabSelected="1" topLeftCell="I1" zoomScale="160" zoomScaleNormal="160" workbookViewId="0">
      <pane ySplit="1" topLeftCell="A2" activePane="bottomLeft" state="frozen"/>
      <selection pane="bottomLeft" activeCell="Q4" sqref="Q4"/>
    </sheetView>
  </sheetViews>
  <sheetFormatPr defaultColWidth="9.1796875" defaultRowHeight="14.5" x14ac:dyDescent="0.35"/>
  <cols>
    <col min="1" max="1" width="6.54296875" style="14" customWidth="1"/>
    <col min="2" max="2" width="7.81640625" style="18" customWidth="1"/>
    <col min="3" max="3" width="10.54296875" style="18" customWidth="1"/>
    <col min="4" max="4" width="17.81640625" style="18" customWidth="1"/>
    <col min="5" max="5" width="10.453125" style="18" customWidth="1"/>
    <col min="6" max="6" width="11.1796875" style="18" customWidth="1"/>
    <col min="7" max="7" width="14.1796875" style="18" customWidth="1"/>
    <col min="8" max="8" width="15.81640625" style="18" customWidth="1"/>
    <col min="9" max="9" width="12.1796875" style="18" customWidth="1"/>
    <col min="10" max="10" width="14.453125" style="18" customWidth="1"/>
    <col min="11" max="11" width="17.1796875" style="18" customWidth="1"/>
    <col min="12" max="12" width="8.81640625" style="18"/>
    <col min="13" max="13" width="12" style="18" customWidth="1"/>
    <col min="14" max="14" width="11.6328125" style="18" customWidth="1"/>
    <col min="15" max="15" width="22.54296875" style="18" customWidth="1"/>
    <col min="16" max="16" width="10" bestFit="1" customWidth="1"/>
    <col min="17" max="17" width="36.90625" customWidth="1"/>
    <col min="18" max="18" width="10.81640625" customWidth="1"/>
    <col min="19" max="19" width="13.1796875" customWidth="1"/>
    <col min="20" max="21" width="8.54296875" customWidth="1"/>
    <col min="22" max="22" width="13" customWidth="1"/>
    <col min="23" max="23" width="15.1796875" customWidth="1"/>
    <col min="24" max="24" width="9.7265625" bestFit="1" customWidth="1"/>
    <col min="25" max="25" width="10.1796875" customWidth="1"/>
    <col min="26" max="26" width="10.54296875" customWidth="1"/>
  </cols>
  <sheetData>
    <row r="1" spans="1:28" s="1" customFormat="1" ht="42.65" customHeight="1" thickBot="1" x14ac:dyDescent="0.4">
      <c r="A1" s="12" t="s">
        <v>0</v>
      </c>
      <c r="B1" s="15" t="s">
        <v>1</v>
      </c>
      <c r="C1" s="15" t="s">
        <v>2</v>
      </c>
      <c r="D1" s="15" t="s">
        <v>4</v>
      </c>
      <c r="E1" s="15" t="s">
        <v>5</v>
      </c>
      <c r="F1" s="15" t="s">
        <v>15</v>
      </c>
      <c r="G1" s="15" t="s">
        <v>9</v>
      </c>
      <c r="H1" s="15" t="s">
        <v>13</v>
      </c>
      <c r="I1" s="15" t="s">
        <v>10</v>
      </c>
      <c r="J1" s="15" t="s">
        <v>11</v>
      </c>
      <c r="K1" s="15" t="s">
        <v>6</v>
      </c>
      <c r="L1" s="15" t="s">
        <v>7</v>
      </c>
      <c r="M1" s="15" t="s">
        <v>8</v>
      </c>
      <c r="N1" s="15" t="s">
        <v>3</v>
      </c>
      <c r="O1" s="15" t="s">
        <v>26</v>
      </c>
      <c r="P1" s="3" t="s">
        <v>12</v>
      </c>
      <c r="Q1" s="3" t="s">
        <v>14</v>
      </c>
      <c r="R1" s="7" t="s">
        <v>16</v>
      </c>
      <c r="S1" s="7" t="s">
        <v>17</v>
      </c>
      <c r="T1" s="8" t="s">
        <v>18</v>
      </c>
      <c r="U1" s="8" t="s">
        <v>19</v>
      </c>
      <c r="V1" s="8" t="s">
        <v>22</v>
      </c>
      <c r="W1" s="8" t="s">
        <v>20</v>
      </c>
      <c r="X1" s="7" t="s">
        <v>23</v>
      </c>
      <c r="Y1" s="7" t="s">
        <v>21</v>
      </c>
      <c r="Z1" s="7" t="s">
        <v>24</v>
      </c>
    </row>
    <row r="2" spans="1:28" s="1" customFormat="1" ht="119" customHeight="1" thickBot="1" x14ac:dyDescent="0.4">
      <c r="A2" s="11">
        <v>1</v>
      </c>
      <c r="B2" s="2" t="s">
        <v>27</v>
      </c>
      <c r="C2" s="2" t="s">
        <v>28</v>
      </c>
      <c r="D2" s="2" t="s">
        <v>42</v>
      </c>
      <c r="E2" s="2" t="s">
        <v>30</v>
      </c>
      <c r="F2" s="2" t="s">
        <v>29</v>
      </c>
      <c r="G2" s="2" t="s">
        <v>31</v>
      </c>
      <c r="H2" s="2" t="s">
        <v>32</v>
      </c>
      <c r="I2" s="2" t="s">
        <v>33</v>
      </c>
      <c r="J2" s="2" t="s">
        <v>34</v>
      </c>
      <c r="K2" s="2" t="s">
        <v>35</v>
      </c>
      <c r="L2" s="2" t="s">
        <v>36</v>
      </c>
      <c r="M2" s="21" t="s">
        <v>37</v>
      </c>
      <c r="N2" s="21" t="s">
        <v>38</v>
      </c>
      <c r="O2" s="2" t="s">
        <v>60</v>
      </c>
      <c r="P2" s="31" t="s">
        <v>61</v>
      </c>
      <c r="Q2" s="2" t="s">
        <v>65</v>
      </c>
      <c r="R2" s="23">
        <v>0.49809999999999999</v>
      </c>
      <c r="S2" s="23">
        <v>0.33839999999999998</v>
      </c>
      <c r="T2" s="24">
        <v>1073308</v>
      </c>
      <c r="U2" s="24">
        <v>9659770</v>
      </c>
      <c r="V2" s="25">
        <f>T2*(S2-R2)</f>
        <v>-171407.28760000001</v>
      </c>
      <c r="W2" s="25">
        <f>U2*(S2-R2)</f>
        <v>-1542665.2690000001</v>
      </c>
      <c r="X2" s="25">
        <v>0</v>
      </c>
      <c r="Y2" s="25">
        <v>27152</v>
      </c>
      <c r="Z2" s="25">
        <f>Y2-X2</f>
        <v>27152</v>
      </c>
      <c r="AA2" s="26"/>
      <c r="AB2" s="26"/>
    </row>
    <row r="3" spans="1:28" s="1" customFormat="1" ht="149" customHeight="1" thickBot="1" x14ac:dyDescent="0.4">
      <c r="A3" s="11">
        <v>2</v>
      </c>
      <c r="B3" s="2" t="s">
        <v>27</v>
      </c>
      <c r="C3" s="2" t="s">
        <v>28</v>
      </c>
      <c r="D3" s="2" t="s">
        <v>47</v>
      </c>
      <c r="E3" s="2" t="s">
        <v>30</v>
      </c>
      <c r="F3" s="2" t="s">
        <v>43</v>
      </c>
      <c r="G3" s="2" t="s">
        <v>39</v>
      </c>
      <c r="H3" s="2" t="s">
        <v>41</v>
      </c>
      <c r="I3" s="2" t="s">
        <v>40</v>
      </c>
      <c r="J3" s="2" t="s">
        <v>44</v>
      </c>
      <c r="K3" s="2" t="s">
        <v>35</v>
      </c>
      <c r="L3" s="2" t="s">
        <v>25</v>
      </c>
      <c r="M3" s="22" t="s">
        <v>45</v>
      </c>
      <c r="N3" s="22" t="s">
        <v>46</v>
      </c>
      <c r="O3" s="2" t="s">
        <v>60</v>
      </c>
      <c r="P3" s="31" t="s">
        <v>61</v>
      </c>
      <c r="Q3" s="2" t="s">
        <v>66</v>
      </c>
      <c r="R3" s="23">
        <v>0.1105</v>
      </c>
      <c r="S3" s="23">
        <v>0.10591</v>
      </c>
      <c r="T3" s="24">
        <v>1068308</v>
      </c>
      <c r="U3" s="24">
        <v>9614770</v>
      </c>
      <c r="V3" s="25">
        <f>T3*(S3-R3)</f>
        <v>-4903.5337199999967</v>
      </c>
      <c r="W3" s="25">
        <f>U3*(S3-R3)</f>
        <v>-44131.794299999972</v>
      </c>
      <c r="X3" s="27">
        <v>0</v>
      </c>
      <c r="Y3" s="27">
        <v>22050</v>
      </c>
      <c r="Z3" s="25">
        <f>Y3-X3</f>
        <v>22050</v>
      </c>
      <c r="AA3" s="26"/>
      <c r="AB3" s="26"/>
    </row>
    <row r="4" spans="1:28" s="1" customFormat="1" ht="111" customHeight="1" thickBot="1" x14ac:dyDescent="0.4">
      <c r="A4" s="11">
        <v>3</v>
      </c>
      <c r="B4" s="2" t="s">
        <v>48</v>
      </c>
      <c r="C4" s="2" t="s">
        <v>49</v>
      </c>
      <c r="D4" s="2" t="s">
        <v>50</v>
      </c>
      <c r="E4" s="2" t="s">
        <v>51</v>
      </c>
      <c r="F4" s="2" t="s">
        <v>52</v>
      </c>
      <c r="G4" s="2" t="s">
        <v>53</v>
      </c>
      <c r="H4" s="2" t="s">
        <v>54</v>
      </c>
      <c r="I4" s="2" t="s">
        <v>55</v>
      </c>
      <c r="J4" s="2" t="s">
        <v>56</v>
      </c>
      <c r="K4" s="2" t="s">
        <v>57</v>
      </c>
      <c r="L4" s="2" t="s">
        <v>36</v>
      </c>
      <c r="M4" s="28" t="s">
        <v>59</v>
      </c>
      <c r="N4" s="28" t="s">
        <v>58</v>
      </c>
      <c r="O4" s="2" t="s">
        <v>62</v>
      </c>
      <c r="P4" s="30" t="s">
        <v>63</v>
      </c>
      <c r="Q4" s="2" t="s">
        <v>64</v>
      </c>
      <c r="R4" s="29">
        <v>0.27</v>
      </c>
      <c r="S4" s="29">
        <v>0.21340000000000001</v>
      </c>
      <c r="T4" s="24">
        <v>1431306</v>
      </c>
      <c r="U4" s="24">
        <v>10019142</v>
      </c>
      <c r="V4" s="27">
        <f>T4*(S4-R4)</f>
        <v>-81011.919600000023</v>
      </c>
      <c r="W4" s="27">
        <f>U4*(S4-R4)</f>
        <v>-567083.43720000016</v>
      </c>
      <c r="X4" s="27">
        <v>170000</v>
      </c>
      <c r="Y4" s="27">
        <v>72946</v>
      </c>
      <c r="Z4" s="27">
        <f>Y4-X4</f>
        <v>-97054</v>
      </c>
    </row>
    <row r="5" spans="1:28" s="1" customFormat="1" ht="21" customHeight="1" thickBot="1" x14ac:dyDescent="0.4">
      <c r="A5" s="19"/>
      <c r="B5" s="19"/>
      <c r="C5" s="19"/>
      <c r="D5" s="19"/>
      <c r="E5" s="19"/>
      <c r="F5" s="19"/>
      <c r="G5" s="19"/>
      <c r="H5" s="19"/>
      <c r="I5" s="19"/>
      <c r="J5" s="19"/>
      <c r="K5" s="19"/>
      <c r="L5" s="19"/>
      <c r="M5" s="2"/>
      <c r="N5" s="2"/>
      <c r="O5" s="2"/>
      <c r="P5" s="2"/>
      <c r="Q5" s="2"/>
      <c r="R5" s="4"/>
      <c r="S5" s="4"/>
      <c r="T5" s="5"/>
      <c r="U5" s="5"/>
      <c r="V5" s="6"/>
      <c r="W5" s="6"/>
      <c r="X5" s="6"/>
      <c r="Y5" s="6"/>
      <c r="Z5" s="6"/>
    </row>
    <row r="6" spans="1:28" s="1" customFormat="1" ht="21" customHeight="1" thickBot="1" x14ac:dyDescent="0.4">
      <c r="A6" s="11"/>
      <c r="B6" s="2"/>
      <c r="C6" s="2"/>
      <c r="D6" s="2"/>
      <c r="E6" s="2"/>
      <c r="F6" s="2"/>
      <c r="G6" s="2"/>
      <c r="H6" s="2"/>
      <c r="I6" s="2"/>
      <c r="J6" s="2"/>
      <c r="K6" s="2"/>
      <c r="L6" s="2"/>
      <c r="M6" s="2"/>
      <c r="N6" s="2"/>
      <c r="O6" s="2"/>
      <c r="P6" s="2"/>
      <c r="Q6" s="9"/>
      <c r="R6" s="4"/>
      <c r="S6" s="4"/>
      <c r="T6" s="5"/>
      <c r="U6" s="5"/>
      <c r="V6" s="6"/>
      <c r="W6" s="6"/>
      <c r="X6" s="6"/>
      <c r="Y6" s="6"/>
      <c r="Z6" s="6"/>
    </row>
    <row r="7" spans="1:28" s="1" customFormat="1" ht="54.65" customHeight="1" thickBot="1" x14ac:dyDescent="0.4">
      <c r="A7" s="11"/>
      <c r="B7" s="16"/>
      <c r="C7" s="16"/>
      <c r="D7" s="16"/>
      <c r="E7" s="16"/>
      <c r="F7" s="16"/>
      <c r="G7" s="19"/>
      <c r="H7" s="2"/>
      <c r="I7" s="2"/>
      <c r="J7" s="20"/>
      <c r="K7" s="16"/>
      <c r="L7" s="16"/>
      <c r="M7" s="2"/>
      <c r="N7" s="2"/>
      <c r="O7" s="2"/>
      <c r="P7" s="2"/>
      <c r="Q7" s="2"/>
      <c r="R7" s="4"/>
      <c r="S7" s="4"/>
      <c r="T7" s="5"/>
      <c r="U7" s="5"/>
      <c r="V7" s="6"/>
      <c r="W7" s="6"/>
      <c r="X7" s="6"/>
      <c r="Y7" s="6"/>
      <c r="Z7" s="6"/>
    </row>
    <row r="8" spans="1:28" s="1" customFormat="1" ht="22" customHeight="1" thickBot="1" x14ac:dyDescent="0.4">
      <c r="A8" s="11"/>
      <c r="B8" s="16"/>
      <c r="C8" s="16"/>
      <c r="D8" s="16"/>
      <c r="E8" s="16"/>
      <c r="F8" s="16"/>
      <c r="G8" s="19"/>
      <c r="H8" s="2"/>
      <c r="I8" s="2"/>
      <c r="J8" s="20"/>
      <c r="K8" s="16"/>
      <c r="L8" s="16"/>
      <c r="M8" s="2"/>
      <c r="N8" s="2"/>
      <c r="O8" s="2"/>
      <c r="P8" s="2"/>
      <c r="Q8" s="2"/>
      <c r="R8" s="4"/>
      <c r="S8" s="4"/>
      <c r="T8" s="5"/>
      <c r="U8" s="5"/>
      <c r="V8" s="6"/>
      <c r="W8" s="6"/>
      <c r="X8" s="6"/>
      <c r="Y8" s="6"/>
      <c r="Z8" s="6"/>
    </row>
    <row r="9" spans="1:28" s="1" customFormat="1" ht="22" customHeight="1" thickBot="1" x14ac:dyDescent="0.4">
      <c r="A9" s="11"/>
      <c r="B9" s="16"/>
      <c r="C9" s="16"/>
      <c r="D9" s="16"/>
      <c r="E9" s="16"/>
      <c r="F9" s="16"/>
      <c r="G9" s="19"/>
      <c r="H9" s="2"/>
      <c r="I9" s="2"/>
      <c r="J9" s="20"/>
      <c r="K9" s="16"/>
      <c r="L9" s="16"/>
      <c r="M9" s="2"/>
      <c r="N9" s="2"/>
      <c r="O9" s="2"/>
      <c r="P9" s="2"/>
      <c r="Q9" s="2"/>
      <c r="R9" s="4"/>
      <c r="S9" s="4"/>
      <c r="T9" s="5"/>
      <c r="U9" s="5"/>
      <c r="V9" s="6"/>
      <c r="W9" s="6"/>
      <c r="X9" s="6"/>
      <c r="Y9" s="6"/>
      <c r="Z9" s="6"/>
    </row>
    <row r="10" spans="1:28" s="1" customFormat="1" ht="22" customHeight="1" thickBot="1" x14ac:dyDescent="0.4">
      <c r="A10" s="11"/>
      <c r="B10" s="16"/>
      <c r="C10" s="16"/>
      <c r="D10" s="16"/>
      <c r="E10" s="16"/>
      <c r="F10" s="16"/>
      <c r="G10" s="19"/>
      <c r="H10" s="2"/>
      <c r="I10" s="2"/>
      <c r="J10" s="20"/>
      <c r="K10" s="16"/>
      <c r="L10" s="16"/>
      <c r="M10" s="2"/>
      <c r="N10" s="2"/>
      <c r="O10" s="2"/>
      <c r="P10" s="2"/>
      <c r="Q10" s="2"/>
      <c r="R10" s="4"/>
      <c r="S10" s="4"/>
      <c r="T10" s="5"/>
      <c r="U10" s="5"/>
      <c r="V10" s="6"/>
      <c r="W10" s="6"/>
      <c r="X10" s="6"/>
      <c r="Y10" s="6"/>
      <c r="Z10" s="6"/>
    </row>
    <row r="11" spans="1:28" s="1" customFormat="1" ht="45" customHeight="1" thickBot="1" x14ac:dyDescent="0.4">
      <c r="A11" s="11"/>
      <c r="B11" s="2"/>
      <c r="C11" s="2"/>
      <c r="D11" s="2"/>
      <c r="E11" s="2"/>
      <c r="F11" s="2"/>
      <c r="G11" s="19"/>
      <c r="H11" s="2"/>
      <c r="I11" s="2"/>
      <c r="J11" s="2"/>
      <c r="K11" s="2"/>
      <c r="L11" s="2"/>
      <c r="M11" s="2"/>
      <c r="N11" s="2"/>
      <c r="O11" s="2"/>
      <c r="P11" s="2"/>
      <c r="Q11" s="2"/>
      <c r="R11" s="4"/>
      <c r="S11" s="4"/>
      <c r="T11" s="5"/>
      <c r="U11" s="5"/>
      <c r="V11" s="6"/>
      <c r="W11" s="6"/>
      <c r="X11" s="6"/>
      <c r="Y11" s="6"/>
      <c r="Z11" s="6"/>
    </row>
    <row r="12" spans="1:28" s="1" customFormat="1" ht="41.5" customHeight="1" thickBot="1" x14ac:dyDescent="0.4">
      <c r="A12" s="11"/>
      <c r="B12" s="2"/>
      <c r="C12" s="2"/>
      <c r="D12" s="2"/>
      <c r="E12" s="2"/>
      <c r="F12" s="2"/>
      <c r="G12" s="19"/>
      <c r="H12" s="2"/>
      <c r="I12" s="2"/>
      <c r="J12" s="2"/>
      <c r="K12" s="2"/>
      <c r="L12" s="2"/>
      <c r="M12" s="2"/>
      <c r="N12" s="2"/>
      <c r="O12" s="2"/>
      <c r="P12" s="2"/>
      <c r="Q12" s="2"/>
      <c r="R12" s="4"/>
      <c r="S12" s="4"/>
      <c r="T12" s="5"/>
      <c r="U12" s="5"/>
      <c r="V12" s="6"/>
      <c r="W12" s="6"/>
      <c r="X12" s="6"/>
      <c r="Y12" s="6"/>
      <c r="Z12" s="6"/>
    </row>
    <row r="13" spans="1:28" s="1" customFormat="1" ht="20.149999999999999" customHeight="1" thickBot="1" x14ac:dyDescent="0.4">
      <c r="A13" s="10"/>
      <c r="B13" s="2"/>
      <c r="C13" s="2"/>
      <c r="D13" s="2"/>
      <c r="E13" s="2"/>
      <c r="F13" s="2"/>
      <c r="G13" s="2"/>
      <c r="H13" s="2"/>
      <c r="I13" s="2"/>
      <c r="J13" s="2"/>
      <c r="K13" s="2"/>
      <c r="L13" s="2"/>
      <c r="M13" s="2"/>
      <c r="N13" s="2"/>
      <c r="O13" s="2"/>
      <c r="P13" s="2"/>
      <c r="Q13" s="2"/>
      <c r="R13" s="2"/>
      <c r="S13" s="2"/>
      <c r="T13" s="2"/>
      <c r="U13" s="2"/>
      <c r="V13" s="2"/>
      <c r="W13" s="2"/>
      <c r="X13" s="2"/>
      <c r="Y13" s="2"/>
      <c r="Z13" s="2"/>
    </row>
    <row r="14" spans="1:28" s="1" customFormat="1" ht="42.65" customHeight="1" x14ac:dyDescent="0.35">
      <c r="A14" s="13"/>
      <c r="B14" s="17"/>
      <c r="C14" s="17"/>
      <c r="D14" s="17"/>
      <c r="E14" s="17"/>
      <c r="F14" s="17"/>
      <c r="G14" s="17"/>
      <c r="H14" s="17"/>
      <c r="I14" s="17"/>
      <c r="J14" s="17"/>
      <c r="K14" s="17"/>
      <c r="L14" s="17"/>
      <c r="M14" s="17"/>
      <c r="N14" s="17"/>
      <c r="O14" s="17"/>
    </row>
    <row r="15" spans="1:28" s="1" customFormat="1" ht="42.65" customHeight="1" x14ac:dyDescent="0.35">
      <c r="A15" s="13"/>
      <c r="B15" s="17"/>
      <c r="C15" s="17"/>
      <c r="D15" s="17"/>
      <c r="E15" s="17"/>
      <c r="F15" s="17"/>
      <c r="G15" s="17"/>
      <c r="H15" s="17"/>
      <c r="I15" s="17"/>
      <c r="J15" s="17"/>
      <c r="K15" s="17"/>
      <c r="L15" s="17"/>
      <c r="M15" s="17"/>
      <c r="N15" s="17"/>
      <c r="O15" s="17"/>
    </row>
    <row r="16" spans="1:28" s="1" customFormat="1" ht="42.65" customHeight="1" x14ac:dyDescent="0.35">
      <c r="A16" s="13"/>
      <c r="B16" s="17"/>
      <c r="C16" s="17"/>
      <c r="D16" s="17"/>
      <c r="E16" s="17"/>
      <c r="F16" s="17"/>
      <c r="G16" s="17"/>
      <c r="H16" s="17"/>
      <c r="I16" s="17"/>
      <c r="J16" s="17"/>
      <c r="K16" s="17"/>
      <c r="L16" s="17"/>
      <c r="M16" s="17"/>
      <c r="N16" s="17"/>
      <c r="O16" s="17"/>
    </row>
    <row r="17" spans="1:15" s="1" customFormat="1" ht="42.65" customHeight="1" x14ac:dyDescent="0.35">
      <c r="A17" s="13"/>
      <c r="B17" s="17"/>
      <c r="C17" s="17"/>
      <c r="D17" s="17"/>
      <c r="E17" s="17"/>
      <c r="F17" s="17"/>
      <c r="G17" s="17"/>
      <c r="H17" s="17"/>
      <c r="I17" s="17"/>
      <c r="J17" s="17"/>
      <c r="K17" s="17"/>
      <c r="L17" s="17"/>
      <c r="M17" s="17"/>
      <c r="N17" s="17"/>
      <c r="O17" s="17"/>
    </row>
    <row r="18" spans="1:15" s="1" customFormat="1" ht="42.65" customHeight="1" x14ac:dyDescent="0.35">
      <c r="A18" s="13"/>
      <c r="B18" s="17"/>
      <c r="C18" s="17"/>
      <c r="D18" s="17"/>
      <c r="E18" s="17"/>
      <c r="F18" s="17"/>
      <c r="G18" s="17"/>
      <c r="H18" s="17"/>
      <c r="I18" s="17"/>
      <c r="J18" s="17"/>
      <c r="K18" s="17"/>
      <c r="L18" s="17"/>
      <c r="M18" s="17"/>
      <c r="N18" s="17"/>
      <c r="O18" s="17"/>
    </row>
    <row r="19" spans="1:15" s="1" customFormat="1" ht="42.65" customHeight="1" x14ac:dyDescent="0.35">
      <c r="A19" s="13"/>
      <c r="B19" s="17"/>
      <c r="C19" s="17"/>
      <c r="D19" s="17"/>
      <c r="E19" s="17"/>
      <c r="F19" s="17"/>
      <c r="G19" s="17"/>
      <c r="H19" s="17"/>
      <c r="I19" s="17"/>
      <c r="J19" s="17"/>
      <c r="K19" s="17"/>
      <c r="L19" s="17"/>
      <c r="M19" s="17"/>
      <c r="N19" s="17"/>
      <c r="O19" s="17"/>
    </row>
    <row r="20" spans="1:15" s="1" customFormat="1" ht="42.65" customHeight="1" x14ac:dyDescent="0.35">
      <c r="A20" s="13"/>
      <c r="B20" s="17"/>
      <c r="C20" s="17"/>
      <c r="D20" s="17"/>
      <c r="E20" s="17"/>
      <c r="F20" s="17"/>
      <c r="G20" s="17"/>
      <c r="H20" s="17"/>
      <c r="I20" s="17"/>
      <c r="J20" s="17"/>
      <c r="K20" s="17"/>
      <c r="L20" s="17"/>
      <c r="M20" s="17"/>
      <c r="N20" s="17"/>
      <c r="O20" s="17"/>
    </row>
    <row r="21" spans="1:15" s="1" customFormat="1" ht="42.65" customHeight="1" x14ac:dyDescent="0.35">
      <c r="A21" s="13"/>
      <c r="B21" s="17"/>
      <c r="C21" s="17"/>
      <c r="D21" s="17"/>
      <c r="E21" s="17"/>
      <c r="F21" s="17"/>
      <c r="G21" s="17"/>
      <c r="H21" s="17"/>
      <c r="I21" s="17"/>
      <c r="J21" s="17"/>
      <c r="K21" s="17"/>
      <c r="L21" s="17"/>
      <c r="M21" s="17"/>
      <c r="N21" s="17"/>
      <c r="O21" s="17"/>
    </row>
    <row r="22" spans="1:15" s="1" customFormat="1" ht="42.65" customHeight="1" x14ac:dyDescent="0.35">
      <c r="A22" s="13"/>
      <c r="B22" s="17"/>
      <c r="C22" s="17"/>
      <c r="D22" s="17"/>
      <c r="E22" s="17"/>
      <c r="F22" s="17"/>
      <c r="G22" s="17"/>
      <c r="H22" s="17"/>
      <c r="I22" s="17"/>
      <c r="J22" s="17"/>
      <c r="K22" s="17"/>
      <c r="L22" s="17"/>
      <c r="M22" s="17"/>
      <c r="N22" s="17"/>
      <c r="O22" s="17"/>
    </row>
    <row r="23" spans="1:15" s="1" customFormat="1" ht="42.65" customHeight="1" x14ac:dyDescent="0.35">
      <c r="A23" s="13"/>
      <c r="B23" s="17"/>
      <c r="C23" s="17"/>
      <c r="D23" s="17"/>
      <c r="E23" s="17"/>
      <c r="F23" s="17"/>
      <c r="G23" s="17"/>
      <c r="H23" s="17"/>
      <c r="I23" s="17"/>
      <c r="J23" s="17"/>
      <c r="K23" s="17"/>
      <c r="L23" s="17"/>
      <c r="M23" s="17"/>
      <c r="N23" s="17"/>
      <c r="O23" s="17"/>
    </row>
    <row r="24" spans="1:15" s="1" customFormat="1" ht="42.65" customHeight="1" x14ac:dyDescent="0.35">
      <c r="A24" s="13"/>
      <c r="B24" s="17"/>
      <c r="C24" s="17"/>
      <c r="D24" s="17"/>
      <c r="E24" s="17"/>
      <c r="F24" s="17"/>
      <c r="G24" s="17"/>
      <c r="H24" s="17"/>
      <c r="I24" s="17"/>
      <c r="J24" s="17"/>
      <c r="K24" s="17"/>
      <c r="L24" s="17"/>
      <c r="M24" s="17"/>
      <c r="N24" s="17"/>
      <c r="O24" s="17"/>
    </row>
    <row r="25" spans="1:15" s="1" customFormat="1" ht="42.65" customHeight="1" x14ac:dyDescent="0.35">
      <c r="A25" s="13"/>
      <c r="B25" s="17"/>
      <c r="C25" s="17"/>
      <c r="D25" s="17"/>
      <c r="E25" s="17"/>
      <c r="F25" s="17"/>
      <c r="G25" s="17"/>
      <c r="H25" s="17"/>
      <c r="I25" s="17"/>
      <c r="J25" s="17"/>
      <c r="K25" s="17"/>
      <c r="L25" s="17"/>
      <c r="M25" s="17"/>
      <c r="N25" s="17"/>
      <c r="O25" s="17"/>
    </row>
    <row r="26" spans="1:15" s="1" customFormat="1" ht="42.65" customHeight="1" x14ac:dyDescent="0.35">
      <c r="A26" s="13"/>
      <c r="B26" s="17"/>
      <c r="C26" s="17"/>
      <c r="D26" s="17"/>
      <c r="E26" s="17"/>
      <c r="F26" s="17"/>
      <c r="G26" s="17"/>
      <c r="H26" s="17"/>
      <c r="I26" s="17"/>
      <c r="J26" s="17"/>
      <c r="K26" s="17"/>
      <c r="L26" s="17"/>
      <c r="M26" s="17"/>
      <c r="N26" s="17"/>
      <c r="O26" s="17"/>
    </row>
    <row r="27" spans="1:15" s="1" customFormat="1" ht="42.65" customHeight="1" x14ac:dyDescent="0.35">
      <c r="A27" s="13"/>
      <c r="B27" s="17"/>
      <c r="C27" s="17"/>
      <c r="D27" s="17"/>
      <c r="E27" s="17"/>
      <c r="F27" s="17"/>
      <c r="G27" s="17"/>
      <c r="H27" s="17"/>
      <c r="I27" s="17"/>
      <c r="J27" s="17"/>
      <c r="K27" s="17"/>
      <c r="L27" s="17"/>
      <c r="M27" s="17"/>
      <c r="N27" s="17"/>
      <c r="O27" s="17"/>
    </row>
    <row r="28" spans="1:15" s="1" customFormat="1" ht="42.65" customHeight="1" x14ac:dyDescent="0.35">
      <c r="A28" s="13"/>
      <c r="B28" s="17"/>
      <c r="C28" s="17"/>
      <c r="D28" s="17"/>
      <c r="E28" s="17"/>
      <c r="F28" s="17"/>
      <c r="G28" s="17"/>
      <c r="H28" s="17"/>
      <c r="I28" s="17"/>
      <c r="J28" s="17"/>
      <c r="K28" s="17"/>
      <c r="L28" s="17"/>
      <c r="M28" s="17"/>
      <c r="N28" s="17"/>
      <c r="O28" s="17"/>
    </row>
    <row r="29" spans="1:15" s="1" customFormat="1" ht="42.65" customHeight="1" x14ac:dyDescent="0.35">
      <c r="A29" s="13"/>
      <c r="B29" s="17"/>
      <c r="C29" s="17"/>
      <c r="D29" s="17"/>
      <c r="E29" s="17"/>
      <c r="F29" s="17"/>
      <c r="G29" s="17"/>
      <c r="H29" s="17"/>
      <c r="I29" s="17"/>
      <c r="J29" s="17"/>
      <c r="K29" s="17"/>
      <c r="L29" s="17"/>
      <c r="M29" s="17"/>
      <c r="N29" s="17"/>
      <c r="O29" s="17"/>
    </row>
    <row r="30" spans="1:15" s="1" customFormat="1" ht="42.65" customHeight="1" x14ac:dyDescent="0.35">
      <c r="A30" s="13"/>
      <c r="B30" s="17"/>
      <c r="C30" s="17"/>
      <c r="D30" s="17"/>
      <c r="E30" s="17"/>
      <c r="F30" s="17"/>
      <c r="G30" s="17"/>
      <c r="H30" s="17"/>
      <c r="I30" s="17"/>
      <c r="J30" s="17"/>
      <c r="K30" s="17"/>
      <c r="L30" s="17"/>
      <c r="M30" s="17"/>
      <c r="N30" s="17"/>
      <c r="O30" s="17"/>
    </row>
    <row r="31" spans="1:15" s="1" customFormat="1" ht="42.65" customHeight="1" x14ac:dyDescent="0.35">
      <c r="A31" s="13"/>
      <c r="B31" s="17"/>
      <c r="C31" s="17"/>
      <c r="D31" s="17"/>
      <c r="E31" s="17"/>
      <c r="F31" s="17"/>
      <c r="G31" s="17"/>
      <c r="H31" s="17"/>
      <c r="I31" s="17"/>
      <c r="J31" s="17"/>
      <c r="K31" s="17"/>
      <c r="L31" s="17"/>
      <c r="M31" s="17"/>
      <c r="N31" s="17"/>
      <c r="O31" s="17"/>
    </row>
    <row r="32" spans="1:15" s="1" customFormat="1" ht="42.65" customHeight="1" x14ac:dyDescent="0.35">
      <c r="A32" s="13"/>
      <c r="B32" s="17"/>
      <c r="C32" s="17"/>
      <c r="D32" s="17"/>
      <c r="E32" s="17"/>
      <c r="F32" s="17"/>
      <c r="G32" s="17"/>
      <c r="H32" s="17"/>
      <c r="I32" s="17"/>
      <c r="J32" s="17"/>
      <c r="K32" s="17"/>
      <c r="L32" s="17"/>
      <c r="M32" s="17"/>
      <c r="N32" s="17"/>
      <c r="O32" s="17"/>
    </row>
    <row r="33" spans="1:15" s="1" customFormat="1" ht="42.65" customHeight="1" x14ac:dyDescent="0.35">
      <c r="A33" s="13"/>
      <c r="B33" s="17"/>
      <c r="C33" s="17"/>
      <c r="D33" s="17"/>
      <c r="E33" s="17"/>
      <c r="F33" s="17"/>
      <c r="G33" s="17"/>
      <c r="H33" s="17"/>
      <c r="I33" s="17"/>
      <c r="J33" s="17"/>
      <c r="K33" s="17"/>
      <c r="L33" s="17"/>
      <c r="M33" s="17"/>
      <c r="N33" s="17"/>
      <c r="O33" s="17"/>
    </row>
    <row r="34" spans="1:15" s="1" customFormat="1" ht="42.65" customHeight="1" x14ac:dyDescent="0.35">
      <c r="A34" s="13"/>
      <c r="B34" s="17"/>
      <c r="C34" s="17"/>
      <c r="D34" s="17"/>
      <c r="E34" s="17"/>
      <c r="F34" s="17"/>
      <c r="G34" s="17"/>
      <c r="H34" s="17"/>
      <c r="I34" s="17"/>
      <c r="J34" s="17"/>
      <c r="K34" s="17"/>
      <c r="L34" s="17"/>
      <c r="M34" s="17"/>
      <c r="N34" s="17"/>
      <c r="O34" s="17"/>
    </row>
    <row r="35" spans="1:15" s="1" customFormat="1" ht="42.65" customHeight="1" x14ac:dyDescent="0.35">
      <c r="A35" s="13"/>
      <c r="B35" s="17"/>
      <c r="C35" s="17"/>
      <c r="D35" s="17"/>
      <c r="E35" s="17"/>
      <c r="F35" s="17"/>
      <c r="G35" s="17"/>
      <c r="H35" s="17"/>
      <c r="I35" s="17"/>
      <c r="J35" s="17"/>
      <c r="K35" s="17"/>
      <c r="L35" s="17"/>
      <c r="M35" s="17"/>
      <c r="N35" s="17"/>
      <c r="O35" s="17"/>
    </row>
    <row r="36" spans="1:15" s="1" customFormat="1" ht="42.65" customHeight="1" x14ac:dyDescent="0.35">
      <c r="A36" s="13"/>
      <c r="B36" s="17"/>
      <c r="C36" s="17"/>
      <c r="D36" s="17"/>
      <c r="E36" s="17"/>
      <c r="F36" s="17"/>
      <c r="G36" s="17"/>
      <c r="H36" s="17"/>
      <c r="I36" s="17"/>
      <c r="J36" s="17"/>
      <c r="K36" s="17"/>
      <c r="L36" s="17"/>
      <c r="M36" s="17"/>
      <c r="N36" s="17"/>
      <c r="O36" s="17"/>
    </row>
    <row r="37" spans="1:15" s="1" customFormat="1" ht="42.65" customHeight="1" x14ac:dyDescent="0.35">
      <c r="A37" s="13"/>
      <c r="B37" s="17"/>
      <c r="C37" s="17"/>
      <c r="D37" s="17"/>
      <c r="E37" s="17"/>
      <c r="F37" s="17"/>
      <c r="G37" s="17"/>
      <c r="H37" s="17"/>
      <c r="I37" s="17"/>
      <c r="J37" s="17"/>
      <c r="K37" s="17"/>
      <c r="L37" s="17"/>
      <c r="M37" s="17"/>
      <c r="N37" s="17"/>
      <c r="O37" s="17"/>
    </row>
    <row r="38" spans="1:15" s="1" customFormat="1" ht="42.65" customHeight="1" x14ac:dyDescent="0.35">
      <c r="A38" s="13"/>
      <c r="B38" s="17"/>
      <c r="C38" s="17"/>
      <c r="D38" s="17"/>
      <c r="E38" s="17"/>
      <c r="F38" s="17"/>
      <c r="G38" s="17"/>
      <c r="H38" s="17"/>
      <c r="I38" s="17"/>
      <c r="J38" s="17"/>
      <c r="K38" s="17"/>
      <c r="L38" s="17"/>
      <c r="M38" s="17"/>
      <c r="N38" s="17"/>
      <c r="O38" s="17"/>
    </row>
  </sheetData>
  <conditionalFormatting sqref="V1:V3 V5:V1048576 Z1:Z3 Z5:Z1048576">
    <cfRule type="cellIs" dxfId="4" priority="5" operator="lessThan">
      <formula>0</formula>
    </cfRule>
  </conditionalFormatting>
  <conditionalFormatting sqref="W2:W3">
    <cfRule type="cellIs" dxfId="3" priority="4" operator="lessThan">
      <formula>0</formula>
    </cfRule>
  </conditionalFormatting>
  <conditionalFormatting sqref="V4">
    <cfRule type="cellIs" dxfId="2" priority="3" operator="lessThan">
      <formula>0</formula>
    </cfRule>
  </conditionalFormatting>
  <conditionalFormatting sqref="W4">
    <cfRule type="cellIs" dxfId="1" priority="2" operator="lessThan">
      <formula>0</formula>
    </cfRule>
  </conditionalFormatting>
  <conditionalFormatting sqref="Z4">
    <cfRule type="cellIs" dxfId="0" priority="1" operator="lessThan">
      <formula>0</formula>
    </cfRule>
  </conditionalFormatting>
  <pageMargins left="0.7" right="0.7" top="0.75" bottom="0.75" header="0.3" footer="0.3"/>
  <pageSetup paperSize="17" scale="71" fitToHeight="0" orientation="landscape" r:id="rId1"/>
  <customProperties>
    <customPr name="_pios_id" r:id="rId2"/>
    <customPr name="IbpWorksheetKeyString_GUID" r:id="rId3"/>
  </customProperties>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489a9c820ca95f30f281d2d870c3f154">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df1e44b885ba372004f019dce495b7b"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58f02bd-e0b7-474b-a2bc-9a19f162f3a8">
      <Terms xmlns="http://schemas.microsoft.com/office/infopath/2007/PartnerControls"/>
    </lcf76f155ced4ddcb4097134ff3c332f>
    <TaxCatchAll xmlns="b7d00205-0ffb-4bc2-b18e-b800942d8fea" xsi:nil="true"/>
  </documentManagement>
</p:properties>
</file>

<file path=customXml/itemProps1.xml><?xml version="1.0" encoding="utf-8"?>
<ds:datastoreItem xmlns:ds="http://schemas.openxmlformats.org/officeDocument/2006/customXml" ds:itemID="{238BB2EA-0DB1-4CC7-8B57-D39B5B5075FB}"/>
</file>

<file path=customXml/itemProps2.xml><?xml version="1.0" encoding="utf-8"?>
<ds:datastoreItem xmlns:ds="http://schemas.openxmlformats.org/officeDocument/2006/customXml" ds:itemID="{074FF53E-A556-4C96-8135-FAED74AEF2B9}"/>
</file>

<file path=customXml/itemProps3.xml><?xml version="1.0" encoding="utf-8"?>
<ds:datastoreItem xmlns:ds="http://schemas.openxmlformats.org/officeDocument/2006/customXml" ds:itemID="{24093E90-CACC-4BE4-BF11-1BA8E0E9C96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KW42, 2025</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2025-09-15T15:27:47Z</cp:lastPrinted>
  <dcterms:created xsi:type="dcterms:W3CDTF">2025-09-02T13:26:50Z</dcterms:created>
  <dcterms:modified xsi:type="dcterms:W3CDTF">2025-10-27T13:24:58Z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CustomUiType">
    <vt:lpwstr>2</vt:lpwstr>
  </property>
  <property fmtid="{D5CDD505-2E9C-101B-9397-08002B2CF9AE}" pid="10" name="IbpWorkbookKeyString_GUID">
    <vt:lpwstr>c7b7ae5a-f3f0-43ee-b73c-55769b880291</vt:lpwstr>
  </property>
  <property fmtid="{D5CDD505-2E9C-101B-9397-08002B2CF9AE}" pid="11" name="MediaServiceImageTags">
    <vt:lpwstr/>
  </property>
  <property fmtid="{D5CDD505-2E9C-101B-9397-08002B2CF9AE}" pid="12" name="ContentTypeId">
    <vt:lpwstr>0x010100D2AE94798D0E7D4487CB84FC9A87565D</vt:lpwstr>
  </property>
  <property fmtid="{D5CDD505-2E9C-101B-9397-08002B2CF9AE}" pid="13" name="_SourceUrl">
    <vt:lpwstr/>
  </property>
  <property fmtid="{D5CDD505-2E9C-101B-9397-08002B2CF9AE}" pid="14" name="_SharedFileIndex">
    <vt:lpwstr/>
  </property>
  <property fmtid="{D5CDD505-2E9C-101B-9397-08002B2CF9AE}" pid="15" name="ComplianceAssetId">
    <vt:lpwstr/>
  </property>
  <property fmtid="{D5CDD505-2E9C-101B-9397-08002B2CF9AE}" pid="16" name="_ExtendedDescription">
    <vt:lpwstr/>
  </property>
  <property fmtid="{D5CDD505-2E9C-101B-9397-08002B2CF9AE}" pid="17" name="TriggerFlowInfo">
    <vt:lpwstr/>
  </property>
</Properties>
</file>