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Sourcing Alignment Committee/KW49, 03.12.2025/"/>
    </mc:Choice>
  </mc:AlternateContent>
  <xr:revisionPtr revIDLastSave="23" documentId="8_{6AC029E2-52D4-4BAC-82F4-84C28C279FC5}" xr6:coauthVersionLast="47" xr6:coauthVersionMax="47" xr10:uidLastSave="{FAC9F17B-9695-4E3D-AFDC-4B55ACC0765D}"/>
  <bookViews>
    <workbookView xWindow="-110" yWindow="-110" windowWidth="19420" windowHeight="10300" xr2:uid="{00000000-000D-0000-FFFF-FFFF00000000}"/>
  </bookViews>
  <sheets>
    <sheet name="KW49, 2025" sheetId="4" r:id="rId1"/>
    <sheet name="Scorecard" sheetId="5" r:id="rId2"/>
    <sheet name="BPP"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4" l="1"/>
  <c r="V2" i="4"/>
  <c r="W3" i="4"/>
  <c r="V3" i="4"/>
  <c r="W4" i="4"/>
  <c r="V4" i="4"/>
  <c r="D5" i="6"/>
  <c r="Z6" i="4" l="1"/>
  <c r="Z5" i="4"/>
  <c r="W5" i="4"/>
  <c r="V5" i="4"/>
  <c r="Z4" i="4"/>
  <c r="Z3" i="4"/>
  <c r="Z2" i="4"/>
  <c r="W6" i="4" l="1"/>
  <c r="V6" i="4"/>
</calcChain>
</file>

<file path=xl/sharedStrings.xml><?xml version="1.0" encoding="utf-8"?>
<sst xmlns="http://schemas.openxmlformats.org/spreadsheetml/2006/main" count="113" uniqueCount="89">
  <si>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</si>
  <si>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</si>
  <si>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</si>
  <si>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</si>
  <si>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</si>
  <si>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</si>
  <si>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</si>
  <si>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</si>
  <si>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</si>
  <si>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</si>
  <si>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</si>
  <si>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</si>
  <si>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</si>
  <si>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</si>
  <si>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</si>
  <si>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</si>
  <si>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</si>
  <si>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</si>
  <si>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</si>
  <si>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</si>
  <si>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</si>
  <si>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</si>
  <si>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</si>
  <si>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</si>
  <si>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</si>
  <si>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L2</t>
  </si>
  <si>
    <t>Comment</t>
  </si>
  <si>
    <t>AP</t>
  </si>
  <si>
    <t>New</t>
  </si>
  <si>
    <t>no record</t>
  </si>
  <si>
    <t>R002T551B</t>
  </si>
  <si>
    <t>R002T552C</t>
  </si>
  <si>
    <t>B/2025/00165
110000032153</t>
  </si>
  <si>
    <t>Volvo V326E Rear</t>
  </si>
  <si>
    <t>CH</t>
  </si>
  <si>
    <t>CH01013
Generic</t>
  </si>
  <si>
    <t>Noise cover</t>
  </si>
  <si>
    <t>Changchun RLS Automobile</t>
  </si>
  <si>
    <t>Helga Klassen</t>
  </si>
  <si>
    <t>110000033274</t>
  </si>
  <si>
    <t>110000033273</t>
  </si>
  <si>
    <t>R003R366A (LH)</t>
  </si>
  <si>
    <t>R003R995A (RH)</t>
  </si>
  <si>
    <t>EU</t>
  </si>
  <si>
    <t>SC06003
Cut&amp;Bend|Medium|Passenger Cars</t>
  </si>
  <si>
    <t>SC</t>
  </si>
  <si>
    <t>Attachment Bracket</t>
  </si>
  <si>
    <t>2025 BMW Ncar</t>
  </si>
  <si>
    <t>Advanced Moulding Production Ltd.</t>
  </si>
  <si>
    <t>Wendy Li</t>
  </si>
  <si>
    <t>L3</t>
  </si>
  <si>
    <t>117K Euro</t>
  </si>
  <si>
    <t>817K Euro</t>
  </si>
  <si>
    <t>0,44 Euro/pc</t>
  </si>
  <si>
    <t>0,3132 Euro/pc</t>
  </si>
  <si>
    <t>B/2025/00165
110000032152</t>
  </si>
  <si>
    <t>1</t>
  </si>
  <si>
    <t>LiXiang X11</t>
  </si>
  <si>
    <t>EL</t>
  </si>
  <si>
    <t>EL02002
ECU Build to Print</t>
  </si>
  <si>
    <t>110000033453</t>
  </si>
  <si>
    <t>ECU</t>
  </si>
  <si>
    <t>R002W996C</t>
  </si>
  <si>
    <t>WUHU HONGJING ELECTRONICS CO., LTD</t>
  </si>
  <si>
    <t>MELISA BOUZO</t>
  </si>
  <si>
    <t>924K Euro</t>
  </si>
  <si>
    <t>50 RMB/pc
6,33 Euro/pc</t>
  </si>
  <si>
    <t>1,45 Euro/pc</t>
  </si>
  <si>
    <t>145,04 RMB/pc
18,36 Euro/pc</t>
  </si>
  <si>
    <t>0 RMB</t>
  </si>
  <si>
    <t>2.4Mio Euro</t>
  </si>
  <si>
    <t>7.500 Euro</t>
  </si>
  <si>
    <t>42.500 Euro</t>
  </si>
  <si>
    <t>370.000 RMB
46.835 EUR</t>
  </si>
  <si>
    <t>1. WUHU HONGJING ELECTRONICS CO., LTD</t>
  </si>
  <si>
    <t>2. Changchun RLS Automobile</t>
  </si>
  <si>
    <t>3. Advanced Moulding Production Ltd.</t>
  </si>
  <si>
    <t>No record</t>
  </si>
  <si>
    <t>1,418 Euro/pc</t>
  </si>
  <si>
    <t>1,2157 Euro/pc</t>
  </si>
  <si>
    <t>518K Euro</t>
  </si>
  <si>
    <t>3.4 Mio Euro</t>
  </si>
  <si>
    <t>Approved with actions</t>
  </si>
  <si>
    <t>1. Should be different CQA for
a. different RM, with or w/o Graphit for better flammablity requirement.
b. different Demand, annual volume 49K vs 259K pcs
c. fitting to different product, SPR8 or SPR6.1
2. Nitch product, limited supply base</t>
  </si>
  <si>
    <t>AMP able to meet timing, March 2026</t>
  </si>
  <si>
    <t>Approved</t>
  </si>
  <si>
    <t>1. To push further cost improvement potentialss with CE BPG calculation -- CM, Helga
To involve AP colleagues for language support for further negotiations. -- CM, Helga</t>
  </si>
  <si>
    <t>1. To double check with Sales, to check if tooling amo is going to be paid off to supplier, in case of project cancellation, or volume reduction. -- PP Eric.
2. Push VAVE activity to improve cost: to change EU chip to local chip, specification needed -- ZF Lifetec engineering, PP, TEAM
Pre-discussion ongoing, Hongjing will provide technical proposal. 
3. For future early involvement of strategic supplier in engineering activities recommended-- Engineering, PP, Team
4. Not recommended to report this as negative impact on PPV3. -- PP Eric to align with CM Bernd, Melisa</t>
  </si>
  <si>
    <t>1. Hongjing does not have any account for electronic components, only through distrubutor.
2. Volume based project, No BP, no pc price reduction committed.
MPC to amortize tooling cost into 220.000pcs.
3. PPAP expected 30.01.2026. Tight timing!
4. Comments from PM Chloe Liu: Technical change not to be easily accepted by customer within SOP+6 months, more realistic to target SOP+1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</si>
</sst>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2]\ #,##0"/>
    <numFmt numFmtId="165" formatCode="#,##0\ [$EUR]"/>
    <numFmt numFmtId="166" formatCode="#,##0\ [$EUR];\-#,##0\ [$EUR]"/>
    <numFmt numFmtId="167" formatCode="#,##0.00\ [$EUR]"/>
  </numFmts>
  <fonts count="8" x14ac:knownFonts="1">
    <font>
      <sz val="11"/>
      <color theme="1"/>
      <name val="Calibri"/>
      <family val="2"/>
      <scheme val="minor"/>
    </font>
    <font>
      <sz val="8"/>
      <color rgb="FF000000"/>
      <name val="Arial"/>
      <family val="2"/>
    </font>
    <font>
      <b/>
      <sz val="8"/>
      <color rgb="FFFFFFFF"/>
      <name val="Arial"/>
      <family val="2"/>
    </font>
    <font>
      <sz val="7.5"/>
      <color rgb="FF000000"/>
      <name val="Arial"/>
      <family val="2"/>
    </font>
    <font>
      <sz val="11"/>
      <color theme="1"/>
      <name val="Calibri"/>
      <family val="2"/>
      <scheme val="minor"/>
    </font>
    <font>
      <sz val="8"/>
      <color rgb="FFFF0000"/>
      <name val="Arial"/>
      <family val="2"/>
    </font>
    <font>
      <sz val="8"/>
      <color theme="1"/>
      <name val="Arial"/>
      <family val="2"/>
    </font>
    <font>
      <b/>
      <sz val="8"/>
      <color rgb="FF00B050"/>
      <name val="Arial"/>
      <family val="2"/>
    </font>
  </fonts>
  <fills count="5">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s>
  <borders count="12">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rgb="FFFFFFFF"/>
      </left>
      <right style="medium">
        <color theme="0"/>
      </right>
      <top style="medium">
        <color theme="0"/>
      </top>
      <bottom/>
      <diagonal/>
    </border>
    <border>
      <left style="medium">
        <color rgb="FFFFFFFF"/>
      </left>
      <right style="medium">
        <color theme="0"/>
      </right>
      <top/>
      <bottom style="medium">
        <color theme="0"/>
      </bottom>
      <diagonal/>
    </border>
    <border>
      <left style="medium">
        <color rgb="FFFFFFFF"/>
      </left>
      <right style="medium">
        <color rgb="FFFFFFFF"/>
      </right>
      <top style="medium">
        <color theme="0"/>
      </top>
      <bottom/>
      <diagonal/>
    </border>
    <border>
      <left style="medium">
        <color rgb="FFFFFFFF"/>
      </left>
      <right style="medium">
        <color rgb="FFFFFFFF"/>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style="medium">
        <color theme="0"/>
      </bottom>
      <diagonal/>
    </border>
  </borders>
  <cellStyleXfs count="2">
    <xf numFmtId="0" fontId="0" fillId="0" borderId="0"/>
    <xf numFmtId="43" fontId="4" fillId="0" borderId="0" applyFont="0" applyFill="0" applyBorder="0" applyAlignment="0" applyProtection="0"/>
  </cellStyleXfs>
  <cellXfs count="34">
    <xf numFmtId="0" fontId="0" fillId="0" borderId="0" xfId="0"/>
    <xf numFmtId="0" fontId="0" fillId="0" borderId="0" xfId="0" applyAlignment="1">
      <alignment wrapText="1"/>
    </xf>
    <xf numFmtId="0" fontId="1" fillId="3" borderId="3" xfId="0" quotePrefix="1" applyFont="1" applyFill="1" applyBorder="1" applyAlignment="1">
      <alignment horizontal="left" vertical="center" wrapText="1" readingOrder="1"/>
    </xf>
    <xf numFmtId="0" fontId="2" fillId="2" borderId="1" xfId="0" applyFont="1" applyFill="1" applyBorder="1" applyAlignment="1">
      <alignment vertical="center" wrapText="1" readingOrder="1"/>
    </xf>
    <xf numFmtId="3" fontId="1" fillId="3" borderId="3" xfId="0" quotePrefix="1" applyNumberFormat="1" applyFont="1" applyFill="1" applyBorder="1" applyAlignment="1">
      <alignment horizontal="left" vertical="center" wrapText="1" readingOrder="1"/>
    </xf>
    <xf numFmtId="0" fontId="2" fillId="4" borderId="1" xfId="0" applyFont="1" applyFill="1" applyBorder="1" applyAlignment="1">
      <alignment horizontal="left" vertical="center" wrapText="1" readingOrder="1"/>
    </xf>
    <xf numFmtId="0" fontId="2" fillId="4" borderId="2" xfId="0" applyFont="1" applyFill="1" applyBorder="1" applyAlignment="1">
      <alignment horizontal="left" vertical="center" wrapText="1" readingOrder="1"/>
    </xf>
    <xf numFmtId="1" fontId="1" fillId="3" borderId="3" xfId="0" quotePrefix="1" applyNumberFormat="1" applyFont="1" applyFill="1" applyBorder="1" applyAlignment="1">
      <alignment horizontal="left" vertical="center" wrapText="1" readingOrder="1"/>
    </xf>
    <xf numFmtId="165" fontId="3"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center" vertical="center" wrapText="1" readingOrder="1"/>
    </xf>
    <xf numFmtId="165" fontId="1" fillId="3" borderId="3" xfId="0" quotePrefix="1" applyNumberFormat="1" applyFont="1" applyFill="1" applyBorder="1" applyAlignment="1">
      <alignment horizontal="left" vertical="center" wrapText="1" readingOrder="1"/>
    </xf>
    <xf numFmtId="0" fontId="1" fillId="3" borderId="8" xfId="0" quotePrefix="1" applyFont="1" applyFill="1" applyBorder="1" applyAlignment="1">
      <alignment horizontal="center" vertical="center" wrapText="1" readingOrder="1"/>
    </xf>
    <xf numFmtId="4" fontId="1" fillId="3" borderId="3" xfId="0" quotePrefix="1" applyNumberFormat="1" applyFont="1" applyFill="1" applyBorder="1" applyAlignment="1">
      <alignment horizontal="left" vertical="center" wrapText="1" readingOrder="1"/>
    </xf>
    <xf numFmtId="166" fontId="1" fillId="3" borderId="3" xfId="1" quotePrefix="1" applyNumberFormat="1" applyFont="1" applyFill="1" applyBorder="1" applyAlignment="1">
      <alignment horizontal="left" vertical="center" wrapText="1" readingOrder="1"/>
    </xf>
    <xf numFmtId="165" fontId="5" fillId="3" borderId="3" xfId="0" quotePrefix="1" applyNumberFormat="1" applyFont="1" applyFill="1" applyBorder="1" applyAlignment="1">
      <alignment horizontal="left" vertical="center" wrapText="1" readingOrder="1"/>
    </xf>
    <xf numFmtId="167" fontId="1" fillId="3" borderId="3" xfId="0" quotePrefix="1" applyNumberFormat="1" applyFont="1" applyFill="1" applyBorder="1" applyAlignment="1">
      <alignment horizontal="left" vertical="center" wrapText="1" readingOrder="1"/>
    </xf>
    <xf numFmtId="0" fontId="0" fillId="0" borderId="0" xfId="0" applyAlignment="1">
      <alignment horizontal="left"/>
    </xf>
    <xf numFmtId="0" fontId="6" fillId="3" borderId="3" xfId="0" quotePrefix="1" applyFont="1" applyFill="1" applyBorder="1" applyAlignment="1">
      <alignment horizontal="left" vertical="center" wrapText="1" readingOrder="1"/>
    </xf>
    <xf numFmtId="165" fontId="6" fillId="3" borderId="3" xfId="0" quotePrefix="1" applyNumberFormat="1" applyFont="1" applyFill="1" applyBorder="1" applyAlignment="1">
      <alignment horizontal="left" vertical="center" wrapText="1" readingOrder="1"/>
    </xf>
    <xf numFmtId="0" fontId="7" fillId="3" borderId="3" xfId="0" quotePrefix="1" applyFont="1" applyFill="1" applyBorder="1" applyAlignment="1">
      <alignment horizontal="center" vertical="center" wrapText="1" readingOrder="1"/>
    </xf>
    <xf numFmtId="0" fontId="1" fillId="3" borderId="4" xfId="0" quotePrefix="1" applyFont="1" applyFill="1" applyBorder="1" applyAlignment="1">
      <alignment horizontal="left" vertical="center" wrapText="1" readingOrder="1"/>
    </xf>
    <xf numFmtId="0" fontId="1" fillId="3" borderId="5" xfId="0" quotePrefix="1" applyFont="1" applyFill="1" applyBorder="1" applyAlignment="1">
      <alignment horizontal="left" vertical="center" wrapText="1" readingOrder="1"/>
    </xf>
    <xf numFmtId="0" fontId="1" fillId="3" borderId="6" xfId="0" quotePrefix="1" applyFont="1" applyFill="1" applyBorder="1" applyAlignment="1">
      <alignment horizontal="center" vertical="center" wrapText="1" readingOrder="1"/>
    </xf>
    <xf numFmtId="0" fontId="1" fillId="3" borderId="7" xfId="0" quotePrefix="1" applyFont="1" applyFill="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0" fontId="1" fillId="3" borderId="8" xfId="0" quotePrefix="1" applyFont="1" applyFill="1" applyBorder="1" applyAlignment="1">
      <alignment horizontal="center" vertical="center" wrapText="1" readingOrder="1"/>
    </xf>
    <xf numFmtId="0" fontId="1" fillId="3" borderId="9" xfId="0" quotePrefix="1" applyFont="1" applyFill="1" applyBorder="1" applyAlignment="1">
      <alignment horizontal="center" vertical="center" wrapText="1" readingOrder="1"/>
    </xf>
    <xf numFmtId="0" fontId="1" fillId="3" borderId="10" xfId="0" quotePrefix="1" applyFont="1" applyFill="1" applyBorder="1" applyAlignment="1">
      <alignment horizontal="center" vertical="center" wrapText="1" readingOrder="1"/>
    </xf>
    <xf numFmtId="0" fontId="1" fillId="3" borderId="11" xfId="0" quotePrefix="1" applyFont="1" applyFill="1" applyBorder="1" applyAlignment="1">
      <alignment horizontal="center" vertical="center" wrapText="1" readingOrder="1"/>
    </xf>
    <xf numFmtId="0" fontId="7" fillId="3" borderId="4" xfId="0" quotePrefix="1" applyFont="1" applyFill="1" applyBorder="1" applyAlignment="1">
      <alignment horizontal="center" vertical="center" wrapText="1" readingOrder="1"/>
    </xf>
    <xf numFmtId="0" fontId="7" fillId="3" borderId="5" xfId="0" quotePrefix="1" applyFont="1" applyFill="1" applyBorder="1" applyAlignment="1">
      <alignment horizontal="center" vertical="center" wrapText="1" readingOrder="1"/>
    </xf>
    <xf numFmtId="164" fontId="6" fillId="3" borderId="4" xfId="0" quotePrefix="1" applyNumberFormat="1" applyFont="1" applyFill="1" applyBorder="1" applyAlignment="1">
      <alignment horizontal="center" vertical="center" wrapText="1" readingOrder="1"/>
    </xf>
    <xf numFmtId="164" fontId="6" fillId="3" borderId="5" xfId="0" quotePrefix="1" applyNumberFormat="1" applyFont="1" applyFill="1" applyBorder="1" applyAlignment="1">
      <alignment horizontal="center" vertical="center" wrapText="1" readingOrder="1"/>
    </xf>
  </cellXfs>
  <cellStyles count="2">
    <cellStyle name="Comma" xfId="1" builtinId="3"/>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33</xdr:row>
      <xdr:rowOff>123825</xdr:rowOff>
    </xdr:from>
    <xdr:to>
      <xdr:col>7</xdr:col>
      <xdr:colOff>105164</xdr:colOff>
      <xdr:row>60</xdr:row>
      <xdr:rowOff>162178</xdr:rowOff>
    </xdr:to>
    <xdr:pic>
      <xdr:nvPicPr>
        <xdr:cNvPr id="3" name="Picture 2">
          <a:extLst>
            <a:ext uri="{FF2B5EF4-FFF2-40B4-BE49-F238E27FC236}">
              <a16:creationId xmlns:a16="http://schemas.microsoft.com/office/drawing/2014/main" id="{FAA23A26-F757-60AD-4334-92A2BC087B81}"/>
            </a:ext>
          </a:extLst>
        </xdr:cNvPr>
        <xdr:cNvPicPr>
          <a:picLocks noChangeAspect="1"/>
        </xdr:cNvPicPr>
      </xdr:nvPicPr>
      <xdr:blipFill>
        <a:blip xmlns:r="http://schemas.openxmlformats.org/officeDocument/2006/relationships" r:embed="rId1"/>
        <a:stretch>
          <a:fillRect/>
        </a:stretch>
      </xdr:blipFill>
      <xdr:spPr>
        <a:xfrm>
          <a:off x="0" y="6096000"/>
          <a:ext cx="7569589" cy="4921503"/>
        </a:xfrm>
        <a:prstGeom prst="rect">
          <a:avLst/>
        </a:prstGeom>
      </xdr:spPr>
    </xdr:pic>
    <xdr:clientData/>
  </xdr:twoCellAnchor>
  <xdr:twoCellAnchor editAs="oneCell">
    <xdr:from>
      <xdr:col>0</xdr:col>
      <xdr:colOff>0</xdr:colOff>
      <xdr:row>6</xdr:row>
      <xdr:rowOff>0</xdr:rowOff>
    </xdr:from>
    <xdr:to>
      <xdr:col>7</xdr:col>
      <xdr:colOff>82550</xdr:colOff>
      <xdr:row>32</xdr:row>
      <xdr:rowOff>105606</xdr:rowOff>
    </xdr:to>
    <xdr:pic>
      <xdr:nvPicPr>
        <xdr:cNvPr id="4" name="Picture 3">
          <a:extLst>
            <a:ext uri="{FF2B5EF4-FFF2-40B4-BE49-F238E27FC236}">
              <a16:creationId xmlns:a16="http://schemas.microsoft.com/office/drawing/2014/main" id="{E27A9A12-9173-681F-C12A-74329057D277}"/>
            </a:ext>
          </a:extLst>
        </xdr:cNvPr>
        <xdr:cNvPicPr>
          <a:picLocks noChangeAspect="1"/>
        </xdr:cNvPicPr>
      </xdr:nvPicPr>
      <xdr:blipFill>
        <a:blip xmlns:r="http://schemas.openxmlformats.org/officeDocument/2006/relationships" r:embed="rId2"/>
        <a:stretch>
          <a:fillRect/>
        </a:stretch>
      </xdr:blipFill>
      <xdr:spPr>
        <a:xfrm>
          <a:off x="0" y="1085850"/>
          <a:ext cx="7553325" cy="48077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31</xdr:row>
      <xdr:rowOff>120650</xdr:rowOff>
    </xdr:from>
    <xdr:to>
      <xdr:col>15</xdr:col>
      <xdr:colOff>381590</xdr:colOff>
      <xdr:row>60</xdr:row>
      <xdr:rowOff>85993</xdr:rowOff>
    </xdr:to>
    <xdr:pic>
      <xdr:nvPicPr>
        <xdr:cNvPr id="4" name="Picture 3">
          <a:extLst>
            <a:ext uri="{FF2B5EF4-FFF2-40B4-BE49-F238E27FC236}">
              <a16:creationId xmlns:a16="http://schemas.microsoft.com/office/drawing/2014/main" id="{48BF040B-BD5B-AC2D-3C5C-A1997F4CF238}"/>
            </a:ext>
          </a:extLst>
        </xdr:cNvPr>
        <xdr:cNvPicPr>
          <a:picLocks noChangeAspect="1"/>
        </xdr:cNvPicPr>
      </xdr:nvPicPr>
      <xdr:blipFill>
        <a:blip xmlns:r="http://schemas.openxmlformats.org/officeDocument/2006/relationships" r:embed="rId1"/>
        <a:stretch>
          <a:fillRect/>
        </a:stretch>
      </xdr:blipFill>
      <xdr:spPr>
        <a:xfrm>
          <a:off x="0" y="5730875"/>
          <a:ext cx="11478215" cy="5213618"/>
        </a:xfrm>
        <a:prstGeom prst="rect">
          <a:avLst/>
        </a:prstGeom>
      </xdr:spPr>
    </xdr:pic>
    <xdr:clientData/>
  </xdr:twoCellAnchor>
  <xdr:twoCellAnchor editAs="oneCell">
    <xdr:from>
      <xdr:col>0</xdr:col>
      <xdr:colOff>0</xdr:colOff>
      <xdr:row>8</xdr:row>
      <xdr:rowOff>19050</xdr:rowOff>
    </xdr:from>
    <xdr:to>
      <xdr:col>12</xdr:col>
      <xdr:colOff>283066</xdr:colOff>
      <xdr:row>30</xdr:row>
      <xdr:rowOff>66882</xdr:rowOff>
    </xdr:to>
    <xdr:pic>
      <xdr:nvPicPr>
        <xdr:cNvPr id="5" name="Picture 4">
          <a:extLst>
            <a:ext uri="{FF2B5EF4-FFF2-40B4-BE49-F238E27FC236}">
              <a16:creationId xmlns:a16="http://schemas.microsoft.com/office/drawing/2014/main" id="{3BCABD75-B7E5-D9ED-E377-EA98491C2E88}"/>
            </a:ext>
          </a:extLst>
        </xdr:cNvPr>
        <xdr:cNvPicPr>
          <a:picLocks noChangeAspect="1"/>
        </xdr:cNvPicPr>
      </xdr:nvPicPr>
      <xdr:blipFill>
        <a:blip xmlns:r="http://schemas.openxmlformats.org/officeDocument/2006/relationships" r:embed="rId2"/>
        <a:stretch>
          <a:fillRect/>
        </a:stretch>
      </xdr:blipFill>
      <xdr:spPr>
        <a:xfrm>
          <a:off x="0" y="1466850"/>
          <a:ext cx="9550891" cy="40292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32"/>
  <sheetViews>
    <sheetView tabSelected="1" zoomScale="85" zoomScaleNormal="85" workbookViewId="0">
      <selection activeCell="O3" sqref="O3:O4"/>
    </sheetView>
  </sheetViews>
  <sheetFormatPr defaultRowHeight="14.5" x14ac:dyDescent="0.35"/>
  <cols>
    <col min="5" max="5" width="12.26953125" customWidth="1"/>
    <col min="6" max="6" width="20.90625" customWidth="1"/>
    <col min="7" max="7" width="13" bestFit="1" customWidth="1"/>
    <col min="8" max="8" width="11.7265625" customWidth="1"/>
    <col min="9" max="9" width="13.81640625" customWidth="1"/>
    <col min="10" max="10" width="14.453125" customWidth="1"/>
    <col min="11" max="11" width="10.1796875" customWidth="1"/>
    <col min="13" max="13" width="12" customWidth="1"/>
    <col min="14" max="14" width="13.81640625" customWidth="1"/>
    <col min="15" max="15" width="29.90625" customWidth="1"/>
    <col min="16" max="16" width="14" customWidth="1"/>
    <col min="17" max="17" width="36.26953125" customWidth="1"/>
    <col min="18" max="18" width="11.1796875" customWidth="1"/>
    <col min="19" max="19" width="11.453125" customWidth="1"/>
    <col min="20" max="21" width="8.54296875" customWidth="1"/>
    <col min="22" max="22" width="13" customWidth="1"/>
    <col min="23" max="23" width="16" customWidth="1"/>
    <col min="24" max="24" width="13.26953125" customWidth="1"/>
    <col min="25" max="25" width="10.1796875" customWidth="1"/>
    <col min="26" max="26" width="10.54296875" customWidth="1"/>
  </cols>
  <sheetData>
    <row r="1" spans="1:26" s="1" customFormat="1" ht="42.65" customHeight="1" thickBot="1" x14ac:dyDescent="0.4">
      <c r="A1" s="3" t="s">
        <v>0</v>
      </c>
      <c r="B1" s="3" t="s">
        <v>1</v>
      </c>
      <c r="C1" s="3" t="s">
        <v>2</v>
      </c>
      <c r="D1" s="3" t="s">
        <v>4</v>
      </c>
      <c r="E1" s="3" t="s">
        <v>5</v>
      </c>
      <c r="F1" s="3" t="s">
        <v>15</v>
      </c>
      <c r="G1" s="3" t="s">
        <v>9</v>
      </c>
      <c r="H1" s="3" t="s">
        <v>13</v>
      </c>
      <c r="I1" s="3" t="s">
        <v>10</v>
      </c>
      <c r="J1" s="3" t="s">
        <v>11</v>
      </c>
      <c r="K1" s="3" t="s">
        <v>6</v>
      </c>
      <c r="L1" s="3" t="s">
        <v>7</v>
      </c>
      <c r="M1" s="3" t="s">
        <v>8</v>
      </c>
      <c r="N1" s="3" t="s">
        <v>3</v>
      </c>
      <c r="O1" s="3" t="s">
        <v>26</v>
      </c>
      <c r="P1" s="3" t="s">
        <v>12</v>
      </c>
      <c r="Q1" s="3" t="s">
        <v>14</v>
      </c>
      <c r="R1" s="5" t="s">
        <v>16</v>
      </c>
      <c r="S1" s="5" t="s">
        <v>17</v>
      </c>
      <c r="T1" s="6" t="s">
        <v>18</v>
      </c>
      <c r="U1" s="6" t="s">
        <v>19</v>
      </c>
      <c r="V1" s="6" t="s">
        <v>22</v>
      </c>
      <c r="W1" s="6" t="s">
        <v>20</v>
      </c>
      <c r="X1" s="5" t="s">
        <v>23</v>
      </c>
      <c r="Y1" s="5" t="s">
        <v>21</v>
      </c>
      <c r="Z1" s="5" t="s">
        <v>24</v>
      </c>
    </row>
    <row r="2" spans="1:26" s="1" customFormat="1" ht="159" customHeight="1" thickBot="1" x14ac:dyDescent="0.4">
      <c r="A2" s="9" t="s">
        <v>56</v>
      </c>
      <c r="B2" s="9" t="s">
        <v>27</v>
      </c>
      <c r="C2" s="9" t="s">
        <v>28</v>
      </c>
      <c r="D2" s="11" t="s">
        <v>57</v>
      </c>
      <c r="E2" s="9" t="s">
        <v>58</v>
      </c>
      <c r="F2" s="9" t="s">
        <v>59</v>
      </c>
      <c r="G2" s="7" t="s">
        <v>60</v>
      </c>
      <c r="H2" s="9" t="s">
        <v>61</v>
      </c>
      <c r="I2" s="2" t="s">
        <v>62</v>
      </c>
      <c r="J2" s="9" t="s">
        <v>63</v>
      </c>
      <c r="K2" s="2" t="s">
        <v>64</v>
      </c>
      <c r="L2" s="9" t="s">
        <v>25</v>
      </c>
      <c r="M2" s="9" t="s">
        <v>65</v>
      </c>
      <c r="N2" s="9" t="s">
        <v>70</v>
      </c>
      <c r="O2" s="10" t="s">
        <v>88</v>
      </c>
      <c r="P2" s="19" t="s">
        <v>82</v>
      </c>
      <c r="Q2" s="2" t="s">
        <v>87</v>
      </c>
      <c r="R2" s="2" t="s">
        <v>66</v>
      </c>
      <c r="S2" s="2" t="s">
        <v>68</v>
      </c>
      <c r="T2" s="4">
        <v>128000</v>
      </c>
      <c r="U2" s="4">
        <v>384000</v>
      </c>
      <c r="V2" s="13">
        <f>(18.36-6.33)*T2</f>
        <v>1539840</v>
      </c>
      <c r="W2" s="13">
        <f>(18.36-6.33)*U2</f>
        <v>4619520</v>
      </c>
      <c r="X2" s="12" t="s">
        <v>73</v>
      </c>
      <c r="Y2" s="15" t="s">
        <v>69</v>
      </c>
      <c r="Z2" s="10">
        <f>0-46835</f>
        <v>-46835</v>
      </c>
    </row>
    <row r="3" spans="1:26" s="1" customFormat="1" ht="48" customHeight="1" thickBot="1" x14ac:dyDescent="0.4">
      <c r="A3" s="24">
        <v>2</v>
      </c>
      <c r="B3" s="28" t="s">
        <v>43</v>
      </c>
      <c r="C3" s="26" t="s">
        <v>28</v>
      </c>
      <c r="D3" s="26" t="s">
        <v>33</v>
      </c>
      <c r="E3" s="26" t="s">
        <v>34</v>
      </c>
      <c r="F3" s="26" t="s">
        <v>35</v>
      </c>
      <c r="G3" s="2" t="s">
        <v>55</v>
      </c>
      <c r="H3" s="22" t="s">
        <v>36</v>
      </c>
      <c r="I3" s="2" t="s">
        <v>30</v>
      </c>
      <c r="J3" s="26" t="s">
        <v>37</v>
      </c>
      <c r="K3" s="22" t="s">
        <v>38</v>
      </c>
      <c r="L3" s="24" t="s">
        <v>25</v>
      </c>
      <c r="M3" s="32" t="s">
        <v>80</v>
      </c>
      <c r="N3" s="32" t="s">
        <v>81</v>
      </c>
      <c r="O3" s="20" t="s">
        <v>83</v>
      </c>
      <c r="P3" s="30" t="s">
        <v>82</v>
      </c>
      <c r="Q3" s="20" t="s">
        <v>86</v>
      </c>
      <c r="R3" s="2" t="s">
        <v>67</v>
      </c>
      <c r="S3" s="17" t="s">
        <v>79</v>
      </c>
      <c r="T3" s="4">
        <v>49283</v>
      </c>
      <c r="U3" s="4">
        <v>394265</v>
      </c>
      <c r="V3" s="14">
        <f>(1.2157-1.45)*T3</f>
        <v>-11547.006899999998</v>
      </c>
      <c r="W3" s="14">
        <f>(1.2157-1.45)*U3</f>
        <v>-92376.289499999984</v>
      </c>
      <c r="X3" s="10">
        <v>50000</v>
      </c>
      <c r="Y3" s="17" t="s">
        <v>71</v>
      </c>
      <c r="Z3" s="14">
        <f>7500-50000</f>
        <v>-42500</v>
      </c>
    </row>
    <row r="4" spans="1:26" s="1" customFormat="1" ht="49.5" customHeight="1" thickBot="1" x14ac:dyDescent="0.4">
      <c r="A4" s="25"/>
      <c r="B4" s="29"/>
      <c r="C4" s="27"/>
      <c r="D4" s="27"/>
      <c r="E4" s="27"/>
      <c r="F4" s="27"/>
      <c r="G4" s="2" t="s">
        <v>32</v>
      </c>
      <c r="H4" s="23"/>
      <c r="I4" s="2" t="s">
        <v>31</v>
      </c>
      <c r="J4" s="27"/>
      <c r="K4" s="23"/>
      <c r="L4" s="25"/>
      <c r="M4" s="33"/>
      <c r="N4" s="33"/>
      <c r="O4" s="21"/>
      <c r="P4" s="31"/>
      <c r="Q4" s="21"/>
      <c r="R4" s="2" t="s">
        <v>67</v>
      </c>
      <c r="S4" s="17" t="s">
        <v>78</v>
      </c>
      <c r="T4" s="4">
        <v>258737</v>
      </c>
      <c r="U4" s="4">
        <v>2069897</v>
      </c>
      <c r="V4" s="14">
        <f>(1.418-1.45)*T4</f>
        <v>-8279.584000000008</v>
      </c>
      <c r="W4" s="14">
        <f>(1.418-1.45)*U4</f>
        <v>-66236.704000000056</v>
      </c>
      <c r="X4" s="10">
        <v>50000</v>
      </c>
      <c r="Y4" s="17" t="s">
        <v>72</v>
      </c>
      <c r="Z4" s="14">
        <f>42500-50000</f>
        <v>-7500</v>
      </c>
    </row>
    <row r="5" spans="1:26" s="1" customFormat="1" ht="46.5" customHeight="1" thickBot="1" x14ac:dyDescent="0.4">
      <c r="A5" s="9">
        <v>3</v>
      </c>
      <c r="B5" s="9" t="s">
        <v>43</v>
      </c>
      <c r="C5" s="9" t="s">
        <v>28</v>
      </c>
      <c r="D5" s="11" t="s">
        <v>47</v>
      </c>
      <c r="E5" s="9" t="s">
        <v>45</v>
      </c>
      <c r="F5" s="9" t="s">
        <v>44</v>
      </c>
      <c r="G5" s="7" t="s">
        <v>40</v>
      </c>
      <c r="H5" s="9" t="s">
        <v>46</v>
      </c>
      <c r="I5" s="2" t="s">
        <v>41</v>
      </c>
      <c r="J5" s="9" t="s">
        <v>48</v>
      </c>
      <c r="K5" s="2" t="s">
        <v>49</v>
      </c>
      <c r="L5" s="9" t="s">
        <v>50</v>
      </c>
      <c r="M5" s="9" t="s">
        <v>51</v>
      </c>
      <c r="N5" s="9" t="s">
        <v>52</v>
      </c>
      <c r="O5" s="8" t="s">
        <v>84</v>
      </c>
      <c r="P5" s="19" t="s">
        <v>85</v>
      </c>
      <c r="Q5" s="2"/>
      <c r="R5" s="2" t="s">
        <v>53</v>
      </c>
      <c r="S5" s="2" t="s">
        <v>54</v>
      </c>
      <c r="T5" s="4">
        <v>260842</v>
      </c>
      <c r="U5" s="4">
        <v>2608423</v>
      </c>
      <c r="V5" s="13">
        <f>(0.3131-0.44)*260842</f>
        <v>-33100.849800000004</v>
      </c>
      <c r="W5" s="13">
        <f>(0.3132-0.44)*U5</f>
        <v>-330748.03640000004</v>
      </c>
      <c r="X5" s="10">
        <v>120000</v>
      </c>
      <c r="Y5" s="10">
        <v>32732</v>
      </c>
      <c r="Z5" s="14">
        <f>Y5-X5</f>
        <v>-87268</v>
      </c>
    </row>
    <row r="6" spans="1:26" s="1" customFormat="1" ht="40" customHeight="1" thickBot="1" x14ac:dyDescent="0.4">
      <c r="A6" s="9">
        <v>4</v>
      </c>
      <c r="B6" s="9" t="s">
        <v>43</v>
      </c>
      <c r="C6" s="9" t="s">
        <v>28</v>
      </c>
      <c r="D6" s="11" t="s">
        <v>47</v>
      </c>
      <c r="E6" s="9" t="s">
        <v>45</v>
      </c>
      <c r="F6" s="9" t="s">
        <v>44</v>
      </c>
      <c r="G6" s="2" t="s">
        <v>39</v>
      </c>
      <c r="H6" s="9" t="s">
        <v>46</v>
      </c>
      <c r="I6" s="2" t="s">
        <v>42</v>
      </c>
      <c r="J6" s="9" t="s">
        <v>48</v>
      </c>
      <c r="K6" s="2" t="s">
        <v>49</v>
      </c>
      <c r="L6" s="9" t="s">
        <v>50</v>
      </c>
      <c r="M6" s="9" t="s">
        <v>51</v>
      </c>
      <c r="N6" s="9" t="s">
        <v>52</v>
      </c>
      <c r="O6" s="8" t="s">
        <v>84</v>
      </c>
      <c r="P6" s="19" t="s">
        <v>85</v>
      </c>
      <c r="Q6" s="2"/>
      <c r="R6" s="2" t="s">
        <v>53</v>
      </c>
      <c r="S6" s="2" t="s">
        <v>54</v>
      </c>
      <c r="T6" s="4">
        <v>260842</v>
      </c>
      <c r="U6" s="4">
        <v>2608423</v>
      </c>
      <c r="V6" s="13">
        <f>(0.3131-0.44)*260842</f>
        <v>-33100.849800000004</v>
      </c>
      <c r="W6" s="13">
        <f>(0.3132-0.44)*U6</f>
        <v>-330748.03640000004</v>
      </c>
      <c r="X6" s="10">
        <v>0</v>
      </c>
      <c r="Y6" s="10">
        <v>0</v>
      </c>
      <c r="Z6" s="18">
        <f>Y6-X6</f>
        <v>0</v>
      </c>
    </row>
    <row r="7" spans="1:26" s="1" customFormat="1" ht="42.65" customHeight="1" x14ac:dyDescent="0.35"/>
    <row r="8" spans="1:26" s="1" customFormat="1" ht="42.65" customHeight="1" x14ac:dyDescent="0.35"/>
    <row r="9" spans="1:26" s="1" customFormat="1" ht="42.65" customHeight="1" x14ac:dyDescent="0.35"/>
    <row r="10" spans="1:26" s="1" customFormat="1" ht="42.65" customHeight="1" x14ac:dyDescent="0.35"/>
    <row r="11" spans="1:26" s="1" customFormat="1" ht="42.65" customHeight="1" x14ac:dyDescent="0.35"/>
    <row r="12" spans="1:26" s="1" customFormat="1" ht="42.65" customHeight="1" x14ac:dyDescent="0.35"/>
    <row r="13" spans="1:26" s="1" customFormat="1" ht="42.65" customHeight="1" x14ac:dyDescent="0.35"/>
    <row r="14" spans="1:26" s="1" customFormat="1" ht="42.65" customHeight="1" x14ac:dyDescent="0.35"/>
    <row r="15" spans="1:26" s="1" customFormat="1" ht="42.65" customHeight="1" x14ac:dyDescent="0.35"/>
    <row r="16" spans="1:26" s="1" customFormat="1" ht="42.65" customHeight="1" x14ac:dyDescent="0.35"/>
    <row r="17" s="1" customFormat="1" ht="42.65" customHeight="1" x14ac:dyDescent="0.35"/>
    <row r="18" s="1" customFormat="1" ht="42.65" customHeight="1" x14ac:dyDescent="0.35"/>
    <row r="19" s="1" customFormat="1" ht="42.65" customHeight="1" x14ac:dyDescent="0.35"/>
    <row r="20" s="1" customFormat="1" ht="42.65" customHeight="1" x14ac:dyDescent="0.35"/>
    <row r="21" s="1" customFormat="1" ht="42.65" customHeight="1" x14ac:dyDescent="0.35"/>
    <row r="22" s="1" customFormat="1" ht="42.65" customHeight="1" x14ac:dyDescent="0.35"/>
    <row r="23" s="1" customFormat="1" ht="42.65" customHeight="1" x14ac:dyDescent="0.35"/>
    <row r="24" s="1" customFormat="1" ht="42.65" customHeight="1" x14ac:dyDescent="0.35"/>
    <row r="25" s="1" customFormat="1" ht="42.65" customHeight="1" x14ac:dyDescent="0.35"/>
    <row r="26" s="1" customFormat="1" ht="42.65" customHeight="1" x14ac:dyDescent="0.35"/>
    <row r="27" s="1" customFormat="1" ht="42.65" customHeight="1" x14ac:dyDescent="0.35"/>
    <row r="28" s="1" customFormat="1" ht="42.65" customHeight="1" x14ac:dyDescent="0.35"/>
    <row r="29" s="1" customFormat="1" ht="42.65" customHeight="1" x14ac:dyDescent="0.35"/>
    <row r="30" s="1" customFormat="1" ht="42.65" customHeight="1" x14ac:dyDescent="0.35"/>
    <row r="31" s="1" customFormat="1" ht="42.65" customHeight="1" x14ac:dyDescent="0.35"/>
    <row r="32" s="1" customFormat="1" ht="42.65" customHeight="1" x14ac:dyDescent="0.35"/>
  </sheetData>
  <mergeCells count="15">
    <mergeCell ref="Q3:Q4"/>
    <mergeCell ref="H3:H4"/>
    <mergeCell ref="K3:K4"/>
    <mergeCell ref="L3:L4"/>
    <mergeCell ref="A3:A4"/>
    <mergeCell ref="F3:F4"/>
    <mergeCell ref="E3:E4"/>
    <mergeCell ref="D3:D4"/>
    <mergeCell ref="C3:C4"/>
    <mergeCell ref="B3:B4"/>
    <mergeCell ref="O3:O4"/>
    <mergeCell ref="P3:P4"/>
    <mergeCell ref="M3:M4"/>
    <mergeCell ref="N3:N4"/>
    <mergeCell ref="J3:J4"/>
  </mergeCells>
  <conditionalFormatting sqref="V5:V1048576 V3:W4 V1:V2 Z1:Z1048576">
    <cfRule type="cellIs" dxfId="8" priority="7" operator="lessThan">
      <formula>0</formula>
    </cfRule>
  </conditionalFormatting>
  <conditionalFormatting sqref="W5:W6">
    <cfRule type="cellIs" dxfId="7" priority="4" operator="lessThan">
      <formula>0</formula>
    </cfRule>
  </conditionalFormatting>
  <conditionalFormatting sqref="W2">
    <cfRule type="cellIs" dxfId="6" priority="3" operator="lessThan">
      <formula>0</formula>
    </cfRule>
  </conditionalFormatting>
  <conditionalFormatting sqref="V2:W2">
    <cfRule type="cellIs" dxfId="0" priority="2" operator="greaterThan">
      <formula>"="</formula>
    </cfRule>
    <cfRule type="cellIs" dxfId="1" priority="1" operator="greaterThan">
      <formula>0</formula>
    </cfRule>
  </conditionalFormatting>
  <pageMargins left="0.7" right="0.7" top="0.75" bottom="0.75" header="0.3" footer="0.3"/>
  <pageSetup paperSize="9"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23E2-E772-45E4-AD62-7B7E87054B0C}">
  <dimension ref="A2:C4"/>
  <sheetViews>
    <sheetView workbookViewId="0">
      <selection activeCell="A2" sqref="A2:B4"/>
    </sheetView>
  </sheetViews>
  <sheetFormatPr defaultRowHeight="14.5" x14ac:dyDescent="0.35"/>
  <cols>
    <col min="1" max="1" width="46.1796875" customWidth="1"/>
    <col min="2" max="2" width="17" style="16" customWidth="1"/>
  </cols>
  <sheetData>
    <row r="2" spans="1:3" x14ac:dyDescent="0.35">
      <c r="A2" t="s">
        <v>74</v>
      </c>
      <c r="B2" s="16">
        <v>3000039</v>
      </c>
      <c r="C2" t="s">
        <v>29</v>
      </c>
    </row>
    <row r="3" spans="1:3" x14ac:dyDescent="0.35">
      <c r="A3" s="1" t="s">
        <v>75</v>
      </c>
      <c r="B3" s="16">
        <v>421248</v>
      </c>
      <c r="C3">
        <v>57</v>
      </c>
    </row>
    <row r="4" spans="1:3" x14ac:dyDescent="0.35">
      <c r="A4" t="s">
        <v>76</v>
      </c>
      <c r="B4" s="16">
        <v>859214</v>
      </c>
      <c r="C4">
        <v>93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89C3-EA5B-446D-9C19-D7ADD5701EDB}">
  <dimension ref="B3:D5"/>
  <sheetViews>
    <sheetView workbookViewId="0">
      <selection activeCell="D5" sqref="D5"/>
    </sheetView>
  </sheetViews>
  <sheetFormatPr defaultRowHeight="14.5" x14ac:dyDescent="0.35"/>
  <cols>
    <col min="2" max="2" width="37.6328125" bestFit="1" customWidth="1"/>
    <col min="3" max="3" width="7.81640625" bestFit="1" customWidth="1"/>
  </cols>
  <sheetData>
    <row r="3" spans="2:4" x14ac:dyDescent="0.35">
      <c r="B3" t="s">
        <v>74</v>
      </c>
      <c r="C3" s="16">
        <v>3000039</v>
      </c>
      <c r="D3" t="s">
        <v>77</v>
      </c>
    </row>
    <row r="4" spans="2:4" x14ac:dyDescent="0.35">
      <c r="B4" s="1" t="s">
        <v>75</v>
      </c>
      <c r="C4" s="16">
        <v>421248</v>
      </c>
      <c r="D4">
        <v>0</v>
      </c>
    </row>
    <row r="5" spans="2:4" x14ac:dyDescent="0.35">
      <c r="B5" t="s">
        <v>76</v>
      </c>
      <c r="C5" s="16">
        <v>859214</v>
      </c>
      <c r="D5">
        <f>-485176-170604</f>
        <v>-655780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489a9c820ca95f30f281d2d870c3f154">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df1e44b885ba372004f019dce495b7b"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8f02bd-e0b7-474b-a2bc-9a19f162f3a8">
      <Terms xmlns="http://schemas.microsoft.com/office/infopath/2007/PartnerControls"/>
    </lcf76f155ced4ddcb4097134ff3c332f>
    <TaxCatchAll xmlns="b7d00205-0ffb-4bc2-b18e-b800942d8fea" xsi:nil="true"/>
  </documentManagement>
</p:properties>
</file>

<file path=customXml/itemProps1.xml><?xml version="1.0" encoding="utf-8"?>
<ds:datastoreItem xmlns:ds="http://schemas.openxmlformats.org/officeDocument/2006/customXml" ds:itemID="{4EED3F84-2BD6-4981-9A15-ED42D13D0251}"/>
</file>

<file path=customXml/itemProps2.xml><?xml version="1.0" encoding="utf-8"?>
<ds:datastoreItem xmlns:ds="http://schemas.openxmlformats.org/officeDocument/2006/customXml" ds:itemID="{BC54C13D-0B97-4CF9-B570-60A599E83AE2}"/>
</file>

<file path=customXml/itemProps3.xml><?xml version="1.0" encoding="utf-8"?>
<ds:datastoreItem xmlns:ds="http://schemas.openxmlformats.org/officeDocument/2006/customXml" ds:itemID="{7E6DE735-9E60-4497-9A23-14C3E2C9824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KW49, 2025</vt:lpstr>
      <vt:lpstr>Scorecard</vt:lpstr>
      <vt:lpstr>BPP</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2025-12-03T14:02:05Z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CustomUiType">
    <vt:lpwstr>2</vt:lpwstr>
  </property>
  <property fmtid="{D5CDD505-2E9C-101B-9397-08002B2CF9AE}" pid="10" name="MediaServiceImageTags">
    <vt:lpwstr/>
  </property>
  <property fmtid="{D5CDD505-2E9C-101B-9397-08002B2CF9AE}" pid="11" name="ContentTypeId">
    <vt:lpwstr>0x010100D2AE94798D0E7D4487CB84FC9A87565D</vt:lpwstr>
  </property>
  <property fmtid="{D5CDD505-2E9C-101B-9397-08002B2CF9AE}" pid="12" name="_SourceUrl">
    <vt:lpwstr/>
  </property>
  <property fmtid="{D5CDD505-2E9C-101B-9397-08002B2CF9AE}" pid="13" name="_SharedFileIndex">
    <vt:lpwstr/>
  </property>
  <property fmtid="{D5CDD505-2E9C-101B-9397-08002B2CF9AE}" pid="14" name="ComplianceAssetId">
    <vt:lpwstr/>
  </property>
  <property fmtid="{D5CDD505-2E9C-101B-9397-08002B2CF9AE}" pid="15" name="_ExtendedDescription">
    <vt:lpwstr/>
  </property>
  <property fmtid="{D5CDD505-2E9C-101B-9397-08002B2CF9AE}" pid="16" name="TriggerFlowInfo">
    <vt:lpwstr/>
  </property>
</Properties>
</file>