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Sourcing Alignment Committee/"/>
    </mc:Choice>
  </mc:AlternateContent>
  <xr:revisionPtr revIDLastSave="100" documentId="8_{EC4D1A33-B88F-4D15-9AAE-03E3B0E9B40E}" xr6:coauthVersionLast="47" xr6:coauthVersionMax="47" xr10:uidLastSave="{B51A217D-24C0-4FFF-B248-721F1A2575E8}"/>
  <bookViews>
    <workbookView xWindow="-110" yWindow="-110" windowWidth="19420" windowHeight="10420" xr2:uid="{00000000-000D-0000-FFFF-FFFF00000000}"/>
  </bookViews>
  <sheets>
    <sheet name="Sheet2" sheetId="2" r:id="rId1"/>
    <sheet name="Sheet3" sheetId="3" r:id="rId2"/>
    <sheet name="Sheet1" sheetId="1" r:id="rId3"/>
  </sheets>
  <calcPr calcId="191029"/>
  <pivotCaches>
    <pivotCache cacheId="1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<sst xmlns="http://schemas.openxmlformats.org/spreadsheetml/2006/main" count="102" uniqueCount="68">
  <si>
    <t>#</t>
  </si>
  <si>
    <t>Region</t>
  </si>
  <si>
    <t>Type</t>
  </si>
  <si>
    <t xml:space="preserve">LT Spend </t>
  </si>
  <si>
    <t>4 &lt; 750k</t>
  </si>
  <si>
    <t>3 &lt; 1.5mio</t>
  </si>
  <si>
    <t>2 &gt; 1.5mio</t>
  </si>
  <si>
    <t>Project/ Product</t>
  </si>
  <si>
    <t>Commodity</t>
  </si>
  <si>
    <t>Presenter</t>
  </si>
  <si>
    <t>New</t>
  </si>
  <si>
    <t>L2</t>
  </si>
  <si>
    <t>Decision Level</t>
  </si>
  <si>
    <t>Peak Year Spend</t>
  </si>
  <si>
    <t>SWAT ID / Bundle ID</t>
  </si>
  <si>
    <t>PN</t>
  </si>
  <si>
    <t>Recommended Supplier (s)</t>
  </si>
  <si>
    <t xml:space="preserve">Sourcing Decision </t>
  </si>
  <si>
    <t>Make vs buy</t>
  </si>
  <si>
    <t xml:space="preserve">SPR6 </t>
  </si>
  <si>
    <t>A020T516B</t>
  </si>
  <si>
    <t>Part Description</t>
  </si>
  <si>
    <t>Bearing Plate</t>
  </si>
  <si>
    <t>ZF Lifetec Alfdorf</t>
  </si>
  <si>
    <t>Helga Klassen</t>
  </si>
  <si>
    <t>NA</t>
  </si>
  <si>
    <t>110000032117</t>
  </si>
  <si>
    <t>1,9 Mio Euro</t>
  </si>
  <si>
    <t>262K Euro</t>
  </si>
  <si>
    <t>110000031625</t>
  </si>
  <si>
    <t>Snake</t>
  </si>
  <si>
    <t>A024W219A</t>
  </si>
  <si>
    <t>L3</t>
  </si>
  <si>
    <t>175K USD</t>
  </si>
  <si>
    <t>1,23 Mio USD</t>
  </si>
  <si>
    <t>Family part</t>
  </si>
  <si>
    <t>110000032118</t>
  </si>
  <si>
    <t>A020W000C</t>
  </si>
  <si>
    <t>L4</t>
  </si>
  <si>
    <t>35K USD</t>
  </si>
  <si>
    <t>264K USD</t>
  </si>
  <si>
    <t>EU</t>
  </si>
  <si>
    <t>BMW NCAR-2SR &amp; G5X</t>
  </si>
  <si>
    <t>Buckle Switches (Webbing)</t>
  </si>
  <si>
    <t>R001K337B (NCAR)  R001K830A (G5X)</t>
  </si>
  <si>
    <t>FILEC PRODUCTION SARL</t>
  </si>
  <si>
    <t>César Espinoza</t>
  </si>
  <si>
    <t>2,65 Mio Euro</t>
  </si>
  <si>
    <t>B/2025/00043
110000230359
110000235861</t>
  </si>
  <si>
    <t>433K Euro</t>
  </si>
  <si>
    <t>Approved</t>
  </si>
  <si>
    <t>Notes/Task/ Resp./ Due Date</t>
  </si>
  <si>
    <t>PAWL, RETRACTOR SENSOR SPR6, ball standard</t>
  </si>
  <si>
    <t>Staamp S.r.l. (temp)
Henn MX (serial)</t>
  </si>
  <si>
    <t>1. CM Proposal: To start with current supplier Staamp S.r.l., to localize with HENN Mexico in Q4/2027.
2. Brandon to check with PM Florian to check about tooling budget to cover Henn tooling.</t>
  </si>
  <si>
    <r>
      <t xml:space="preserve">
1. CQA to be adjusted, must be different basis for estimation, as is lower than BPG. Brandon to bring back to GM team.
</t>
    </r>
    <r>
      <rPr>
        <sz val="8"/>
        <color theme="1"/>
        <rFont val="Arial"/>
        <family val="2"/>
      </rPr>
      <t xml:space="preserve">2. A. PM Thomas Rossman to check with GM customer team if local solution (Prism) is preferred.
B. PP to collect the BOM level cost increase for localization, 
C. Sales to get sale price increase approval from customer before we officially award local suppliers (Prism in this case) and kick off tooling. </t>
    </r>
  </si>
  <si>
    <t>1. To check how Make vs Buy decision was made. Carrie to check with Jan.
2. Localization Rate NA SPR6.1 standard (high runners)? Currently below 60%, target is 70% to meet USMCA threshold.
3. PP NA was pushed to have market analysis done to take a decision.
4. Can we provide 2 step solution to our customer with delta PV? 1. Alfdorf--&gt;2. Henn NA
Possible SOP with HENN MX in Q4 2027, 8 months after SOP (Jan 2027), tooling budget to be considered and planned.
A. PP to collect the BOM level cost increase for localization.
B. Sales to get sale price increase approval from customer before we officially award local suppliers (Henn MX in this case) and kick off tooling. 
5. Alfdorf can cover ramp up, only until 2029, a capacity tool will be needed for Alfdorf, so no timing  urgency of capa tool.
6. When new volume comes later, create SWAT, allow the team to nominate Henn MX.</t>
  </si>
  <si>
    <t xml:space="preserve">1. Filec on SNBH but not official registered.
2. Capa is a problem from Filec.
A. To work out a plan to shift some PNs to alternative suppliers.
B. To introduce IC chip as technical solution to allow us to find alternative sources, estimated lead time 2 years to industrialize it.
3. There is liablity to Filec for the 2 lines invested at Filec, we can only completely desource Filec with buckle switch after line investment fully paid.
4. PFS meeting needs to work out a plan to shift volume e.g. to Taiking or etcs.
Taiking current cycle time 7,5s.
</t>
  </si>
  <si>
    <t>(blank)</t>
  </si>
  <si>
    <t>Grand Total</t>
  </si>
  <si>
    <t>EA</t>
  </si>
  <si>
    <t>CH</t>
  </si>
  <si>
    <t>High Precision
CH01014</t>
  </si>
  <si>
    <t>Parent PF Code</t>
  </si>
  <si>
    <t>(blank) Total</t>
  </si>
  <si>
    <t>Buckle Switches
EA03011</t>
  </si>
  <si>
    <t>EA Total</t>
  </si>
  <si>
    <t>CH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</si>
</sst>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6"/>
      <color rgb="FFFFFFFF"/>
      <name val="Arial"/>
    </font>
    <font>
      <sz val="8"/>
      <color rgb="FF000000"/>
      <name val="Arial"/>
    </font>
    <font>
      <b/>
      <sz val="6"/>
      <color rgb="FFFFFFFF"/>
      <name val="Arial"/>
      <family val="2"/>
    </font>
    <font>
      <sz val="8"/>
      <color rgb="FF000000"/>
      <name val="Arial"/>
      <family val="2"/>
    </font>
    <font>
      <sz val="8"/>
      <color theme="1"/>
      <name val="Arial"/>
      <family val="2"/>
    </font>
  </fonts>
  <fills count="4">
    <fill>
      <patternFill patternType="none"/>
    </fill>
    <fill>
      <patternFill patternType="gray125"/>
    </fill>
    <fill>
      <patternFill patternType="solid">
        <fgColor rgb="FFE73E11"/>
        <bgColor indexed="64"/>
      </patternFill>
    </fill>
    <fill>
      <patternFill patternType="solid">
        <fgColor rgb="FFF6CECC"/>
        <bgColor indexed="64"/>
      </patternFill>
    </fill>
  </fills>
  <borders count="6">
    <border>
      <left/>
      <right/>
      <top/>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s>
  <cellStyleXfs count="1">
    <xf numFmtId="0" fontId="0" fillId="0" borderId="0"/>
  </cellStyleXfs>
  <cellXfs count="23">
    <xf numFmtId="0" fontId="0" fillId="0" borderId="0" xfId="0"/>
    <xf numFmtId="0" fontId="0" fillId="0" borderId="0" xfId="0" applyAlignment="1">
      <alignment horizontal="center"/>
    </xf>
    <xf numFmtId="0" fontId="3" fillId="2"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0" fontId="1" fillId="2" borderId="3" xfId="0" applyFont="1" applyFill="1" applyBorder="1" applyAlignment="1">
      <alignment horizontal="center" vertical="center" wrapText="1" readingOrder="1"/>
    </xf>
    <xf numFmtId="0" fontId="1" fillId="2" borderId="1" xfId="0" applyFont="1" applyFill="1" applyBorder="1" applyAlignment="1">
      <alignment horizontal="center" vertical="center" wrapText="1" readingOrder="1"/>
    </xf>
    <xf numFmtId="0" fontId="2" fillId="3" borderId="4" xfId="0" applyFont="1" applyFill="1" applyBorder="1" applyAlignment="1">
      <alignment horizontal="center" vertical="center" wrapText="1" readingOrder="1"/>
    </xf>
    <xf numFmtId="0" fontId="2" fillId="3" borderId="2" xfId="0" applyFont="1" applyFill="1" applyBorder="1" applyAlignment="1">
      <alignment horizontal="center" vertical="center" wrapText="1" readingOrder="1"/>
    </xf>
    <xf numFmtId="0" fontId="2" fillId="3" borderId="5" xfId="0" applyFont="1" applyFill="1" applyBorder="1" applyAlignment="1">
      <alignment horizontal="center" vertical="center" wrapText="1" readingOrder="1"/>
    </xf>
    <xf numFmtId="0" fontId="4" fillId="3" borderId="4" xfId="0" applyFont="1" applyFill="1" applyBorder="1" applyAlignment="1">
      <alignment vertical="center" wrapText="1" readingOrder="1"/>
    </xf>
    <xf numFmtId="0" fontId="2" fillId="3" borderId="2" xfId="0" applyFont="1" applyFill="1" applyBorder="1" applyAlignment="1">
      <alignment vertical="center" wrapText="1" readingOrder="1"/>
    </xf>
    <xf numFmtId="0" fontId="2" fillId="3" borderId="5" xfId="0" applyFont="1" applyFill="1" applyBorder="1" applyAlignment="1">
      <alignment vertical="center" wrapText="1" readingOrder="1"/>
    </xf>
    <xf numFmtId="0" fontId="2" fillId="3" borderId="4" xfId="0" applyFont="1" applyFill="1" applyBorder="1" applyAlignment="1">
      <alignment vertical="center" wrapText="1" readingOrder="1"/>
    </xf>
    <xf numFmtId="0" fontId="4" fillId="3" borderId="4" xfId="0" applyFont="1" applyFill="1" applyBorder="1" applyAlignment="1">
      <alignment horizontal="center" vertical="center" wrapText="1" readingOrder="1"/>
    </xf>
    <xf numFmtId="0" fontId="2" fillId="3" borderId="3" xfId="0" applyFont="1" applyFill="1" applyBorder="1" applyAlignment="1">
      <alignment horizontal="center" vertical="center" wrapText="1" readingOrder="1"/>
    </xf>
    <xf numFmtId="0" fontId="4" fillId="3" borderId="4" xfId="0" quotePrefix="1" applyFont="1" applyFill="1" applyBorder="1" applyAlignment="1">
      <alignment vertical="center" wrapText="1" readingOrder="1"/>
    </xf>
    <xf numFmtId="0" fontId="5" fillId="3" borderId="4"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5" xfId="0" applyFont="1" applyFill="1" applyBorder="1" applyAlignment="1">
      <alignment horizontal="center" vertical="center" wrapText="1" readingOrder="1"/>
    </xf>
    <xf numFmtId="0" fontId="0" fillId="0" borderId="0" xfId="0" pivotButton="1"/>
    <xf numFmtId="0" fontId="4" fillId="3" borderId="2" xfId="0" applyFont="1" applyFill="1" applyBorder="1" applyAlignment="1">
      <alignment horizontal="center" vertical="center" wrapText="1" readingOrder="1"/>
    </xf>
    <xf numFmtId="0" fontId="4" fillId="3" borderId="3" xfId="0" applyFont="1" applyFill="1" applyBorder="1" applyAlignment="1">
      <alignment horizontal="center" vertical="center" wrapText="1" readingOrder="1"/>
    </xf>
    <xf numFmtId="0" fontId="4" fillId="3" borderId="5"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iangwei Chen" refreshedDate="45903.666734837963" createdVersion="8" refreshedVersion="8" minRefreshableVersion="3" recordCount="23" xr:uid="{52AE5408-B271-49CF-A61D-5A444D394FA4}">
  <cacheSource type="worksheet">
    <worksheetSource ref="A1:P24" sheet="Sheet1"/>
  </cacheSource>
  <cacheFields count="16">
    <cacheField name="#" numFmtId="0">
      <sharedItems containsString="0" containsBlank="1" containsNumber="1" containsInteger="1" minValue="1" maxValue="4"/>
    </cacheField>
    <cacheField name="Region" numFmtId="0">
      <sharedItems containsBlank="1"/>
    </cacheField>
    <cacheField name="Type" numFmtId="0">
      <sharedItems containsBlank="1"/>
    </cacheField>
    <cacheField name="Project/ Product" numFmtId="0">
      <sharedItems containsBlank="1"/>
    </cacheField>
    <cacheField name="Commodity" numFmtId="0">
      <sharedItems containsBlank="1" count="5">
        <m/>
        <s v="EA"/>
        <s v="CH"/>
        <s v="Electromechanical &amp; Assemblies_x000a__x000a_Buckle Switches_x000a_EA03011" u="1"/>
        <s v="Chemical_x000a__x000a_High Precision_x000a_CH01014" u="1"/>
      </sharedItems>
    </cacheField>
    <cacheField name="Parent PF Code" numFmtId="0">
      <sharedItems containsBlank="1"/>
    </cacheField>
    <cacheField name="SWAT ID / Bundle ID" numFmtId="0">
      <sharedItems containsBlank="1"/>
    </cacheField>
    <cacheField name="Part Description" numFmtId="0">
      <sharedItems containsBlank="1"/>
    </cacheField>
    <cacheField name="PN" numFmtId="0">
      <sharedItems containsBlank="1"/>
    </cacheField>
    <cacheField name="Recommended Supplier (s)" numFmtId="0">
      <sharedItems containsBlank="1"/>
    </cacheField>
    <cacheField name="Presenter" numFmtId="0">
      <sharedItems containsBlank="1"/>
    </cacheField>
    <cacheField name="Decision Level" numFmtId="0">
      <sharedItems containsBlank="1"/>
    </cacheField>
    <cacheField name="Peak Year Spend" numFmtId="0">
      <sharedItems containsBlank="1" count="5">
        <m/>
        <s v="433K Euro"/>
        <s v="262K Euro"/>
        <s v="175K USD"/>
        <s v="35K USD"/>
      </sharedItems>
    </cacheField>
    <cacheField name="LT Spend " numFmtId="0">
      <sharedItems containsBlank="1" count="8">
        <s v="4 &lt; 750k"/>
        <s v="3 &lt; 1.5mio"/>
        <s v="2 &gt; 1.5mio"/>
        <s v="2,65 Mio Euro"/>
        <m/>
        <s v="1,9 Mio Euro"/>
        <s v="1,23 Mio USD"/>
        <s v="264K USD"/>
      </sharedItems>
    </cacheField>
    <cacheField name="Sourcing Decision " numFmtId="0">
      <sharedItems containsBlank="1"/>
    </cacheField>
    <cacheField name="Notes/Task/ Resp./ Due Dat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m/>
    <m/>
    <m/>
    <m/>
    <x v="0"/>
    <m/>
    <m/>
    <m/>
    <m/>
    <m/>
    <m/>
    <m/>
    <x v="0"/>
    <x v="0"/>
    <m/>
    <m/>
  </r>
  <r>
    <m/>
    <m/>
    <m/>
    <m/>
    <x v="0"/>
    <m/>
    <m/>
    <m/>
    <m/>
    <m/>
    <m/>
    <m/>
    <x v="0"/>
    <x v="1"/>
    <m/>
    <m/>
  </r>
  <r>
    <m/>
    <m/>
    <m/>
    <m/>
    <x v="0"/>
    <m/>
    <m/>
    <m/>
    <m/>
    <m/>
    <m/>
    <m/>
    <x v="0"/>
    <x v="2"/>
    <m/>
    <m/>
  </r>
  <r>
    <n v="1"/>
    <s v="EU"/>
    <s v="New"/>
    <s v="BMW NCAR-2SR &amp; G5X"/>
    <x v="1"/>
    <s v="Buckle Switches_x000a_EA03011"/>
    <s v="B/2025/00043_x000a_110000230359_x000a_110000235861"/>
    <s v="Buckle Switches (Webbing)"/>
    <s v="R001K337B (NCAR)  R001K830A (G5X)"/>
    <s v="FILEC PRODUCTION SARL"/>
    <s v="César Espinoza"/>
    <s v="L2"/>
    <x v="1"/>
    <x v="3"/>
    <s v="Approved"/>
    <s v="1. Filec on SNBH but not official registered._x000a_2. Capa is a problem from Filec._x000a_A. To work out a plan to shift some PNs to alternative suppliers._x000a_B. To introduce IC chip as technical solution to allow us to find alternative sources, estimated lead time 2 years to industrialize it._x000a_3. There is liablity to Filec for the 2 lines invested at Filec, we can only completely desource Filec with buckle switch after line investment fully paid._x000a_4. PFS meeting needs to work out a plan to shift volume e.g. to Taiking or etcs._x000a_Taiking current cycle time 7,5s._x000a_"/>
  </r>
  <r>
    <m/>
    <m/>
    <m/>
    <m/>
    <x v="0"/>
    <m/>
    <m/>
    <m/>
    <m/>
    <m/>
    <m/>
    <m/>
    <x v="0"/>
    <x v="4"/>
    <m/>
    <m/>
  </r>
  <r>
    <m/>
    <m/>
    <m/>
    <m/>
    <x v="0"/>
    <m/>
    <m/>
    <m/>
    <m/>
    <m/>
    <m/>
    <m/>
    <x v="0"/>
    <x v="4"/>
    <m/>
    <m/>
  </r>
  <r>
    <m/>
    <m/>
    <m/>
    <m/>
    <x v="0"/>
    <m/>
    <m/>
    <m/>
    <m/>
    <m/>
    <m/>
    <m/>
    <x v="0"/>
    <x v="4"/>
    <m/>
    <m/>
  </r>
  <r>
    <m/>
    <m/>
    <m/>
    <m/>
    <x v="0"/>
    <m/>
    <m/>
    <m/>
    <m/>
    <m/>
    <m/>
    <m/>
    <x v="0"/>
    <x v="4"/>
    <m/>
    <m/>
  </r>
  <r>
    <n v="2"/>
    <s v="NA"/>
    <s v="Make vs buy"/>
    <s v="SPR6 "/>
    <x v="2"/>
    <s v="High Precision_x000a_CH01014"/>
    <s v="110000032117"/>
    <s v="Bearing Plate"/>
    <s v="A020T516B"/>
    <s v="ZF Lifetec Alfdorf"/>
    <s v="Helga Klassen"/>
    <s v="L2"/>
    <x v="2"/>
    <x v="5"/>
    <s v="Approved"/>
    <s v="1. To check how Make vs Buy decision was made. Carrie to check with Jan._x000a_2. Localization Rate NA SPR6.1 standard (high runners)? Currently below 60%, target is 70% to meet USMCA threshold._x000a_3. PP NA was pushed to have market analysis done to take a decision._x000a_4. Can we provide 2 step solution to our customer with delta PV? 1. Alfdorf--&gt;2. Henn NA_x000a_Possible SOP with HENN MX in Q4 2027, 8 months after SOP (Jan 2027), tooling budget to be considered and planned._x000a_A. PP to collect the BOM level cost increase for localization._x000a_B. Sales to get sale price increase approval from customer before we officially award local suppliers (Henn MX in this case) and kick off tooling. _x000a_5. Alfdorf can cover ramp up, only until 2029, a capacity tool will be needed for Alfdorf, so no timing  urgency of capa tool._x000a_6. When new volume comes later, create SWAT, allow the team to nominate Henn MX."/>
  </r>
  <r>
    <m/>
    <m/>
    <m/>
    <m/>
    <x v="0"/>
    <m/>
    <m/>
    <m/>
    <m/>
    <m/>
    <m/>
    <m/>
    <x v="0"/>
    <x v="4"/>
    <m/>
    <m/>
  </r>
  <r>
    <m/>
    <m/>
    <m/>
    <m/>
    <x v="0"/>
    <m/>
    <m/>
    <m/>
    <m/>
    <m/>
    <m/>
    <m/>
    <x v="0"/>
    <x v="4"/>
    <m/>
    <m/>
  </r>
  <r>
    <m/>
    <m/>
    <m/>
    <m/>
    <x v="0"/>
    <m/>
    <m/>
    <m/>
    <m/>
    <m/>
    <m/>
    <m/>
    <x v="0"/>
    <x v="4"/>
    <m/>
    <m/>
  </r>
  <r>
    <m/>
    <m/>
    <m/>
    <m/>
    <x v="0"/>
    <m/>
    <m/>
    <m/>
    <m/>
    <m/>
    <m/>
    <m/>
    <x v="0"/>
    <x v="4"/>
    <m/>
    <m/>
  </r>
  <r>
    <n v="3"/>
    <s v="NA"/>
    <s v="Make vs buy"/>
    <s v="SPR6 "/>
    <x v="2"/>
    <s v="High Precision_x000a_CH01014"/>
    <s v="110000031625"/>
    <s v="Snake"/>
    <s v="A024W219A"/>
    <s v="ZF Lifetec Alfdorf"/>
    <s v="Helga Klassen"/>
    <s v="L3"/>
    <x v="3"/>
    <x v="6"/>
    <s v="Approved"/>
    <s v="_x000a_1. CQA to be adjusted, must be different basis for estimation, as is lower than BPG. Brandon to bring back to GM team._x000a_2. A. PM Thomas Rossman to check with GM customer team if local solution (Prism) is preferred._x000a_B. PP to collect the BOM level cost increase for localization, _x000a_C. Sales to get sale price increase approval from customer before we officially award local suppliers (Prism in this case) and kick off tooling. "/>
  </r>
  <r>
    <m/>
    <m/>
    <m/>
    <m/>
    <x v="0"/>
    <m/>
    <m/>
    <m/>
    <m/>
    <m/>
    <m/>
    <m/>
    <x v="0"/>
    <x v="4"/>
    <m/>
    <m/>
  </r>
  <r>
    <m/>
    <m/>
    <m/>
    <m/>
    <x v="0"/>
    <m/>
    <m/>
    <m/>
    <m/>
    <m/>
    <m/>
    <m/>
    <x v="0"/>
    <x v="4"/>
    <m/>
    <m/>
  </r>
  <r>
    <m/>
    <m/>
    <m/>
    <m/>
    <x v="0"/>
    <m/>
    <m/>
    <m/>
    <m/>
    <m/>
    <m/>
    <m/>
    <x v="0"/>
    <x v="4"/>
    <m/>
    <m/>
  </r>
  <r>
    <m/>
    <m/>
    <m/>
    <m/>
    <x v="0"/>
    <m/>
    <m/>
    <m/>
    <m/>
    <m/>
    <m/>
    <m/>
    <x v="0"/>
    <x v="4"/>
    <m/>
    <m/>
  </r>
  <r>
    <n v="4"/>
    <s v="NA"/>
    <s v="Family part"/>
    <s v="SPR6 "/>
    <x v="2"/>
    <s v="High Precision_x000a_CH01014"/>
    <s v="110000032118"/>
    <s v="PAWL, RETRACTOR SENSOR SPR6, ball standard"/>
    <s v="A020W000C"/>
    <s v="Staamp S.r.l. (temp)_x000a_Henn MX (serial)"/>
    <s v="Helga Klassen"/>
    <s v="L4"/>
    <x v="4"/>
    <x v="7"/>
    <s v="Approved"/>
    <s v="1. CM Proposal: To start with current supplier Staamp S.r.l., to localize with HENN Mexico in Q4/2027._x000a_2. Brandon to check with PM Florian to check about tooling budget to cover Henn tooling."/>
  </r>
  <r>
    <m/>
    <m/>
    <m/>
    <m/>
    <x v="0"/>
    <m/>
    <m/>
    <m/>
    <m/>
    <m/>
    <m/>
    <m/>
    <x v="0"/>
    <x v="4"/>
    <m/>
    <m/>
  </r>
  <r>
    <m/>
    <m/>
    <m/>
    <m/>
    <x v="0"/>
    <m/>
    <m/>
    <m/>
    <m/>
    <m/>
    <m/>
    <m/>
    <x v="0"/>
    <x v="4"/>
    <m/>
    <m/>
  </r>
  <r>
    <m/>
    <m/>
    <m/>
    <m/>
    <x v="0"/>
    <m/>
    <m/>
    <m/>
    <m/>
    <m/>
    <m/>
    <m/>
    <x v="0"/>
    <x v="4"/>
    <m/>
    <m/>
  </r>
  <r>
    <m/>
    <m/>
    <m/>
    <m/>
    <x v="0"/>
    <m/>
    <m/>
    <m/>
    <m/>
    <m/>
    <m/>
    <m/>
    <x v="0"/>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039C2D-F02A-4B40-BE9E-319FF10F5C5B}"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G16" firstHeaderRow="1" firstDataRow="1"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2E7CFD-8E87-4B3D-AB69-93250119F858}" name="PivotTable2"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I16" firstHeaderRow="2" firstDataRow="2" firstDataCol="3"/>
  <pivotFields count="16">
    <pivotField compact="0" outline="0" showAll="0"/>
    <pivotField compact="0" outline="0" showAll="0"/>
    <pivotField compact="0" outline="0" showAll="0"/>
    <pivotField compact="0" outline="0" showAll="0"/>
    <pivotField axis="axisRow" compact="0" outline="0" showAll="0">
      <items count="6">
        <item m="1" x="4"/>
        <item m="1" x="3"/>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5">
        <item x="3"/>
        <item x="2"/>
        <item x="4"/>
        <item x="1"/>
        <item x="0"/>
      </items>
    </pivotField>
    <pivotField axis="axisRow" compact="0" outline="0" showAll="0">
      <items count="9">
        <item x="6"/>
        <item x="5"/>
        <item x="2"/>
        <item x="3"/>
        <item x="7"/>
        <item x="1"/>
        <item x="0"/>
        <item x="4"/>
        <item t="default"/>
      </items>
    </pivotField>
    <pivotField compact="0" outline="0" showAll="0"/>
    <pivotField compact="0" outline="0" showAll="0"/>
  </pivotFields>
  <rowFields count="3">
    <field x="4"/>
    <field x="12"/>
    <field x="13"/>
  </rowFields>
  <rowItems count="12">
    <i>
      <x v="2"/>
      <x v="4"/>
      <x v="2"/>
    </i>
    <i r="2">
      <x v="5"/>
    </i>
    <i r="2">
      <x v="6"/>
    </i>
    <i r="2">
      <x v="7"/>
    </i>
    <i t="default">
      <x v="2"/>
    </i>
    <i>
      <x v="3"/>
      <x v="3"/>
      <x v="3"/>
    </i>
    <i t="default">
      <x v="3"/>
    </i>
    <i>
      <x v="4"/>
      <x/>
      <x/>
    </i>
    <i r="1">
      <x v="1"/>
      <x v="1"/>
    </i>
    <i r="1">
      <x v="2"/>
      <x v="4"/>
    </i>
    <i t="default">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0CF9-1F14-41B3-B7D4-38DA80DAFE25}">
  <dimension ref="A1"/>
  <sheetViews>
    <sheetView tabSelected="1" workbookViewId="0">
      <selection activeCell="C9" sqref="C9"/>
    </sheetView>
  </sheetViews>
  <sheetFormatPr defaultRowHeight="14.5" x14ac:dyDescent="0.35"/>
  <cols>
    <col min="1" max="1" width="17.453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AE733-0925-45FF-9098-697AAA94F0EA}">
  <dimension ref="A4:C16"/>
  <sheetViews>
    <sheetView workbookViewId="0">
      <selection activeCell="B9" sqref="B9"/>
    </sheetView>
  </sheetViews>
  <sheetFormatPr defaultRowHeight="14.5" x14ac:dyDescent="0.35"/>
  <cols>
    <col min="1" max="1" width="38.36328125" customWidth="1"/>
    <col min="2" max="3" width="12.36328125" bestFit="1" customWidth="1"/>
  </cols>
  <sheetData>
    <row r="4" spans="1:3" x14ac:dyDescent="0.35">
      <c r="A4" s="19" t="s">
        <v>8</v>
      </c>
      <c r="B4" s="19" t="s">
        <v>13</v>
      </c>
      <c r="C4" s="19" t="s">
        <v>3</v>
      </c>
    </row>
    <row r="5" spans="1:3" x14ac:dyDescent="0.35">
      <c r="A5" t="s">
        <v>58</v>
      </c>
      <c r="B5" t="s">
        <v>58</v>
      </c>
      <c r="C5" t="s">
        <v>6</v>
      </c>
    </row>
    <row r="6" spans="1:3" x14ac:dyDescent="0.35">
      <c r="C6" t="s">
        <v>5</v>
      </c>
    </row>
    <row r="7" spans="1:3" x14ac:dyDescent="0.35">
      <c r="C7" t="s">
        <v>4</v>
      </c>
    </row>
    <row r="8" spans="1:3" x14ac:dyDescent="0.35">
      <c r="C8" t="s">
        <v>58</v>
      </c>
    </row>
    <row r="9" spans="1:3" x14ac:dyDescent="0.35">
      <c r="A9" t="s">
        <v>64</v>
      </c>
    </row>
    <row r="10" spans="1:3" x14ac:dyDescent="0.35">
      <c r="A10" t="s">
        <v>60</v>
      </c>
      <c r="B10" t="s">
        <v>49</v>
      </c>
      <c r="C10" t="s">
        <v>47</v>
      </c>
    </row>
    <row r="11" spans="1:3" x14ac:dyDescent="0.35">
      <c r="A11" t="s">
        <v>66</v>
      </c>
    </row>
    <row r="12" spans="1:3" x14ac:dyDescent="0.35">
      <c r="A12" t="s">
        <v>61</v>
      </c>
      <c r="B12" t="s">
        <v>33</v>
      </c>
      <c r="C12" t="s">
        <v>34</v>
      </c>
    </row>
    <row r="13" spans="1:3" x14ac:dyDescent="0.35">
      <c r="B13" t="s">
        <v>28</v>
      </c>
      <c r="C13" t="s">
        <v>27</v>
      </c>
    </row>
    <row r="14" spans="1:3" x14ac:dyDescent="0.35">
      <c r="B14" t="s">
        <v>39</v>
      </c>
      <c r="C14" t="s">
        <v>40</v>
      </c>
    </row>
    <row r="15" spans="1:3" x14ac:dyDescent="0.35">
      <c r="A15" t="s">
        <v>67</v>
      </c>
    </row>
    <row r="16" spans="1:3" x14ac:dyDescent="0.35">
      <c r="A16"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24"/>
  <sheetViews>
    <sheetView zoomScaleNormal="100" workbookViewId="0">
      <selection activeCell="G5" sqref="G5:G9"/>
    </sheetView>
  </sheetViews>
  <sheetFormatPr defaultRowHeight="14.5" x14ac:dyDescent="0.35"/>
  <cols>
    <col min="1" max="1" width="4.36328125" style="1" customWidth="1"/>
    <col min="2" max="3" width="10.6328125" customWidth="1"/>
    <col min="4" max="11" width="15.6328125" customWidth="1"/>
    <col min="14" max="14" width="10.81640625" customWidth="1"/>
    <col min="16" max="16" width="35.08984375" customWidth="1"/>
  </cols>
  <sheetData>
    <row r="1" spans="1:16" x14ac:dyDescent="0.35">
      <c r="A1" s="5" t="s">
        <v>0</v>
      </c>
      <c r="B1" s="5" t="s">
        <v>1</v>
      </c>
      <c r="C1" s="5" t="s">
        <v>2</v>
      </c>
      <c r="D1" s="5" t="s">
        <v>7</v>
      </c>
      <c r="E1" s="5" t="s">
        <v>8</v>
      </c>
      <c r="F1" s="5" t="s">
        <v>63</v>
      </c>
      <c r="G1" s="5" t="s">
        <v>14</v>
      </c>
      <c r="H1" s="2" t="s">
        <v>21</v>
      </c>
      <c r="I1" s="5" t="s">
        <v>15</v>
      </c>
      <c r="J1" s="2" t="s">
        <v>16</v>
      </c>
      <c r="K1" s="5" t="s">
        <v>9</v>
      </c>
      <c r="L1" s="5" t="s">
        <v>12</v>
      </c>
      <c r="M1" s="5" t="s">
        <v>13</v>
      </c>
      <c r="N1" s="5" t="s">
        <v>3</v>
      </c>
      <c r="O1" s="2" t="s">
        <v>17</v>
      </c>
      <c r="P1" s="5" t="s">
        <v>51</v>
      </c>
    </row>
    <row r="2" spans="1:16" x14ac:dyDescent="0.35">
      <c r="A2" s="3"/>
      <c r="B2" s="3"/>
      <c r="C2" s="3"/>
      <c r="D2" s="3"/>
      <c r="E2" s="3"/>
      <c r="F2" s="3"/>
      <c r="G2" s="3"/>
      <c r="H2" s="3"/>
      <c r="I2" s="3"/>
      <c r="J2" s="3"/>
      <c r="K2" s="3"/>
      <c r="L2" s="3"/>
      <c r="M2" s="3"/>
      <c r="N2" s="3" t="s">
        <v>4</v>
      </c>
      <c r="O2" s="3"/>
      <c r="P2" s="3"/>
    </row>
    <row r="3" spans="1:16" x14ac:dyDescent="0.35">
      <c r="A3" s="3"/>
      <c r="B3" s="3"/>
      <c r="C3" s="3"/>
      <c r="D3" s="3"/>
      <c r="E3" s="3"/>
      <c r="F3" s="3"/>
      <c r="G3" s="3"/>
      <c r="H3" s="3"/>
      <c r="I3" s="3"/>
      <c r="J3" s="3"/>
      <c r="K3" s="3"/>
      <c r="L3" s="3"/>
      <c r="M3" s="3"/>
      <c r="N3" s="3" t="s">
        <v>5</v>
      </c>
      <c r="O3" s="3"/>
      <c r="P3" s="3"/>
    </row>
    <row r="4" spans="1:16" ht="15" thickBot="1" x14ac:dyDescent="0.4">
      <c r="A4" s="4"/>
      <c r="B4" s="4"/>
      <c r="C4" s="4"/>
      <c r="D4" s="4"/>
      <c r="E4" s="4"/>
      <c r="F4" s="4"/>
      <c r="G4" s="4"/>
      <c r="H4" s="4"/>
      <c r="I4" s="4"/>
      <c r="J4" s="4"/>
      <c r="K4" s="4"/>
      <c r="L4" s="4"/>
      <c r="M4" s="4"/>
      <c r="N4" s="4" t="s">
        <v>6</v>
      </c>
      <c r="O4" s="4"/>
      <c r="P4" s="4"/>
    </row>
    <row r="5" spans="1:16" ht="15" thickTop="1" x14ac:dyDescent="0.35">
      <c r="A5" s="6">
        <v>1</v>
      </c>
      <c r="B5" s="9" t="s">
        <v>41</v>
      </c>
      <c r="C5" s="9" t="s">
        <v>10</v>
      </c>
      <c r="D5" s="9" t="s">
        <v>42</v>
      </c>
      <c r="E5" s="6" t="s">
        <v>60</v>
      </c>
      <c r="F5" s="9" t="s">
        <v>65</v>
      </c>
      <c r="G5" s="15" t="s">
        <v>48</v>
      </c>
      <c r="H5" s="13" t="s">
        <v>43</v>
      </c>
      <c r="I5" s="9" t="s">
        <v>44</v>
      </c>
      <c r="J5" s="13" t="s">
        <v>45</v>
      </c>
      <c r="K5" s="13" t="s">
        <v>46</v>
      </c>
      <c r="L5" s="13" t="s">
        <v>11</v>
      </c>
      <c r="M5" s="13" t="s">
        <v>49</v>
      </c>
      <c r="N5" s="13" t="s">
        <v>47</v>
      </c>
      <c r="O5" s="6" t="s">
        <v>50</v>
      </c>
      <c r="P5" s="12" t="s">
        <v>57</v>
      </c>
    </row>
    <row r="6" spans="1:16" x14ac:dyDescent="0.35">
      <c r="A6" s="7"/>
      <c r="B6" s="10"/>
      <c r="C6" s="10"/>
      <c r="D6" s="10"/>
      <c r="E6" s="7"/>
      <c r="F6" s="10"/>
      <c r="G6" s="10"/>
      <c r="H6" s="7"/>
      <c r="I6" s="10"/>
      <c r="J6" s="7"/>
      <c r="K6" s="7"/>
      <c r="L6" s="7"/>
      <c r="M6" s="7"/>
      <c r="N6" s="7"/>
      <c r="O6" s="7"/>
      <c r="P6" s="10"/>
    </row>
    <row r="7" spans="1:16" x14ac:dyDescent="0.35">
      <c r="A7" s="7"/>
      <c r="B7" s="10"/>
      <c r="C7" s="10"/>
      <c r="D7" s="10"/>
      <c r="E7" s="7"/>
      <c r="F7" s="10"/>
      <c r="G7" s="10"/>
      <c r="H7" s="7"/>
      <c r="I7" s="10"/>
      <c r="J7" s="7"/>
      <c r="K7" s="7"/>
      <c r="L7" s="7"/>
      <c r="M7" s="7"/>
      <c r="N7" s="7"/>
      <c r="O7" s="7"/>
      <c r="P7" s="10"/>
    </row>
    <row r="8" spans="1:16" x14ac:dyDescent="0.35">
      <c r="A8" s="7"/>
      <c r="B8" s="10"/>
      <c r="C8" s="10"/>
      <c r="D8" s="10"/>
      <c r="E8" s="7"/>
      <c r="F8" s="10"/>
      <c r="G8" s="10"/>
      <c r="H8" s="7"/>
      <c r="I8" s="10"/>
      <c r="J8" s="7"/>
      <c r="K8" s="7"/>
      <c r="L8" s="7"/>
      <c r="M8" s="7"/>
      <c r="N8" s="7"/>
      <c r="O8" s="7"/>
      <c r="P8" s="10"/>
    </row>
    <row r="9" spans="1:16" ht="96" customHeight="1" thickBot="1" x14ac:dyDescent="0.4">
      <c r="A9" s="8"/>
      <c r="B9" s="11"/>
      <c r="C9" s="11"/>
      <c r="D9" s="11"/>
      <c r="E9" s="14"/>
      <c r="F9" s="11"/>
      <c r="G9" s="11"/>
      <c r="H9" s="14"/>
      <c r="I9" s="11"/>
      <c r="J9" s="8"/>
      <c r="K9" s="8"/>
      <c r="L9" s="8"/>
      <c r="M9" s="8"/>
      <c r="N9" s="8"/>
      <c r="O9" s="8"/>
      <c r="P9" s="11"/>
    </row>
    <row r="10" spans="1:16" ht="15" thickTop="1" x14ac:dyDescent="0.35">
      <c r="A10" s="6">
        <v>2</v>
      </c>
      <c r="B10" s="9" t="s">
        <v>25</v>
      </c>
      <c r="C10" s="12" t="s">
        <v>18</v>
      </c>
      <c r="D10" s="9" t="s">
        <v>19</v>
      </c>
      <c r="E10" s="6" t="s">
        <v>61</v>
      </c>
      <c r="F10" s="9" t="s">
        <v>62</v>
      </c>
      <c r="G10" s="15" t="s">
        <v>26</v>
      </c>
      <c r="H10" s="13" t="s">
        <v>22</v>
      </c>
      <c r="I10" s="9" t="s">
        <v>20</v>
      </c>
      <c r="J10" s="13" t="s">
        <v>23</v>
      </c>
      <c r="K10" s="13" t="s">
        <v>24</v>
      </c>
      <c r="L10" s="13" t="s">
        <v>11</v>
      </c>
      <c r="M10" s="13" t="s">
        <v>28</v>
      </c>
      <c r="N10" s="13" t="s">
        <v>27</v>
      </c>
      <c r="O10" s="6" t="s">
        <v>50</v>
      </c>
      <c r="P10" s="9" t="s">
        <v>56</v>
      </c>
    </row>
    <row r="11" spans="1:16" x14ac:dyDescent="0.35">
      <c r="A11" s="7"/>
      <c r="B11" s="10"/>
      <c r="C11" s="10"/>
      <c r="D11" s="10"/>
      <c r="E11" s="7"/>
      <c r="F11" s="10"/>
      <c r="G11" s="10"/>
      <c r="H11" s="7"/>
      <c r="I11" s="10"/>
      <c r="J11" s="7"/>
      <c r="K11" s="7"/>
      <c r="L11" s="7"/>
      <c r="M11" s="7"/>
      <c r="N11" s="7"/>
      <c r="O11" s="7"/>
      <c r="P11" s="10"/>
    </row>
    <row r="12" spans="1:16" x14ac:dyDescent="0.35">
      <c r="A12" s="7"/>
      <c r="B12" s="10"/>
      <c r="C12" s="10"/>
      <c r="D12" s="10"/>
      <c r="E12" s="7"/>
      <c r="F12" s="10"/>
      <c r="G12" s="10"/>
      <c r="H12" s="7"/>
      <c r="I12" s="10"/>
      <c r="J12" s="7"/>
      <c r="K12" s="7"/>
      <c r="L12" s="7"/>
      <c r="M12" s="7"/>
      <c r="N12" s="7"/>
      <c r="O12" s="7"/>
      <c r="P12" s="10"/>
    </row>
    <row r="13" spans="1:16" x14ac:dyDescent="0.35">
      <c r="A13" s="7"/>
      <c r="B13" s="10"/>
      <c r="C13" s="10"/>
      <c r="D13" s="10"/>
      <c r="E13" s="7"/>
      <c r="F13" s="10"/>
      <c r="G13" s="10"/>
      <c r="H13" s="7"/>
      <c r="I13" s="10"/>
      <c r="J13" s="7"/>
      <c r="K13" s="7"/>
      <c r="L13" s="7"/>
      <c r="M13" s="7"/>
      <c r="N13" s="7"/>
      <c r="O13" s="7"/>
      <c r="P13" s="10"/>
    </row>
    <row r="14" spans="1:16" ht="172.5" customHeight="1" thickBot="1" x14ac:dyDescent="0.4">
      <c r="A14" s="8"/>
      <c r="B14" s="11"/>
      <c r="C14" s="11"/>
      <c r="D14" s="11"/>
      <c r="E14" s="14"/>
      <c r="F14" s="11"/>
      <c r="G14" s="11"/>
      <c r="H14" s="14"/>
      <c r="I14" s="11"/>
      <c r="J14" s="8"/>
      <c r="K14" s="8"/>
      <c r="L14" s="8"/>
      <c r="M14" s="8"/>
      <c r="N14" s="8"/>
      <c r="O14" s="8"/>
      <c r="P14" s="11"/>
    </row>
    <row r="15" spans="1:16" ht="15" thickTop="1" x14ac:dyDescent="0.35">
      <c r="A15" s="6">
        <v>3</v>
      </c>
      <c r="B15" s="9" t="s">
        <v>25</v>
      </c>
      <c r="C15" s="12" t="s">
        <v>18</v>
      </c>
      <c r="D15" s="9" t="s">
        <v>19</v>
      </c>
      <c r="E15" s="13" t="s">
        <v>61</v>
      </c>
      <c r="F15" s="9" t="s">
        <v>62</v>
      </c>
      <c r="G15" s="15" t="s">
        <v>29</v>
      </c>
      <c r="H15" s="13" t="s">
        <v>30</v>
      </c>
      <c r="I15" s="9" t="s">
        <v>31</v>
      </c>
      <c r="J15" s="16" t="s">
        <v>23</v>
      </c>
      <c r="K15" s="13" t="s">
        <v>24</v>
      </c>
      <c r="L15" s="13" t="s">
        <v>32</v>
      </c>
      <c r="M15" s="13" t="s">
        <v>33</v>
      </c>
      <c r="N15" s="13" t="s">
        <v>34</v>
      </c>
      <c r="O15" s="16" t="s">
        <v>50</v>
      </c>
      <c r="P15" s="9" t="s">
        <v>55</v>
      </c>
    </row>
    <row r="16" spans="1:16" x14ac:dyDescent="0.35">
      <c r="A16" s="7"/>
      <c r="B16" s="10"/>
      <c r="C16" s="10"/>
      <c r="D16" s="10"/>
      <c r="E16" s="20"/>
      <c r="F16" s="10"/>
      <c r="G16" s="10"/>
      <c r="H16" s="7"/>
      <c r="I16" s="10"/>
      <c r="J16" s="17"/>
      <c r="K16" s="7"/>
      <c r="L16" s="7"/>
      <c r="M16" s="7"/>
      <c r="N16" s="7"/>
      <c r="O16" s="17"/>
      <c r="P16" s="10"/>
    </row>
    <row r="17" spans="1:16" x14ac:dyDescent="0.35">
      <c r="A17" s="7"/>
      <c r="B17" s="10"/>
      <c r="C17" s="10"/>
      <c r="D17" s="10"/>
      <c r="E17" s="20"/>
      <c r="F17" s="10"/>
      <c r="G17" s="10"/>
      <c r="H17" s="7"/>
      <c r="I17" s="10"/>
      <c r="J17" s="17"/>
      <c r="K17" s="7"/>
      <c r="L17" s="7"/>
      <c r="M17" s="7"/>
      <c r="N17" s="7"/>
      <c r="O17" s="17"/>
      <c r="P17" s="10"/>
    </row>
    <row r="18" spans="1:16" x14ac:dyDescent="0.35">
      <c r="A18" s="7"/>
      <c r="B18" s="10"/>
      <c r="C18" s="10"/>
      <c r="D18" s="10"/>
      <c r="E18" s="20"/>
      <c r="F18" s="10"/>
      <c r="G18" s="10"/>
      <c r="H18" s="7"/>
      <c r="I18" s="10"/>
      <c r="J18" s="17"/>
      <c r="K18" s="7"/>
      <c r="L18" s="7"/>
      <c r="M18" s="7"/>
      <c r="N18" s="7"/>
      <c r="O18" s="17"/>
      <c r="P18" s="10"/>
    </row>
    <row r="19" spans="1:16" ht="71.5" customHeight="1" thickBot="1" x14ac:dyDescent="0.4">
      <c r="A19" s="8"/>
      <c r="B19" s="11"/>
      <c r="C19" s="11"/>
      <c r="D19" s="11"/>
      <c r="E19" s="21"/>
      <c r="F19" s="11"/>
      <c r="G19" s="11"/>
      <c r="H19" s="14"/>
      <c r="I19" s="11"/>
      <c r="J19" s="18"/>
      <c r="K19" s="8"/>
      <c r="L19" s="8"/>
      <c r="M19" s="8"/>
      <c r="N19" s="8"/>
      <c r="O19" s="18"/>
      <c r="P19" s="11"/>
    </row>
    <row r="20" spans="1:16" ht="15" customHeight="1" thickTop="1" x14ac:dyDescent="0.35">
      <c r="A20" s="6">
        <v>4</v>
      </c>
      <c r="B20" s="9" t="s">
        <v>25</v>
      </c>
      <c r="C20" s="9" t="s">
        <v>35</v>
      </c>
      <c r="D20" s="9" t="s">
        <v>19</v>
      </c>
      <c r="E20" s="13" t="s">
        <v>61</v>
      </c>
      <c r="F20" s="9" t="s">
        <v>62</v>
      </c>
      <c r="G20" s="15" t="s">
        <v>36</v>
      </c>
      <c r="H20" s="13" t="s">
        <v>52</v>
      </c>
      <c r="I20" s="9" t="s">
        <v>37</v>
      </c>
      <c r="J20" s="13" t="s">
        <v>53</v>
      </c>
      <c r="K20" s="13" t="s">
        <v>24</v>
      </c>
      <c r="L20" s="13" t="s">
        <v>38</v>
      </c>
      <c r="M20" s="13" t="s">
        <v>39</v>
      </c>
      <c r="N20" s="13" t="s">
        <v>40</v>
      </c>
      <c r="O20" s="6" t="s">
        <v>50</v>
      </c>
      <c r="P20" s="9" t="s">
        <v>54</v>
      </c>
    </row>
    <row r="21" spans="1:16" x14ac:dyDescent="0.35">
      <c r="A21" s="7"/>
      <c r="B21" s="10"/>
      <c r="C21" s="10"/>
      <c r="D21" s="10"/>
      <c r="E21" s="20"/>
      <c r="F21" s="10"/>
      <c r="G21" s="10"/>
      <c r="H21" s="7"/>
      <c r="I21" s="10"/>
      <c r="J21" s="7"/>
      <c r="K21" s="7"/>
      <c r="L21" s="7"/>
      <c r="M21" s="7"/>
      <c r="N21" s="7"/>
      <c r="O21" s="7"/>
      <c r="P21" s="10"/>
    </row>
    <row r="22" spans="1:16" x14ac:dyDescent="0.35">
      <c r="A22" s="7"/>
      <c r="B22" s="10"/>
      <c r="C22" s="10"/>
      <c r="D22" s="10"/>
      <c r="E22" s="20"/>
      <c r="F22" s="10"/>
      <c r="G22" s="10"/>
      <c r="H22" s="7"/>
      <c r="I22" s="10"/>
      <c r="J22" s="7"/>
      <c r="K22" s="7"/>
      <c r="L22" s="7"/>
      <c r="M22" s="7"/>
      <c r="N22" s="7"/>
      <c r="O22" s="7"/>
      <c r="P22" s="10"/>
    </row>
    <row r="23" spans="1:16" x14ac:dyDescent="0.35">
      <c r="A23" s="7"/>
      <c r="B23" s="10"/>
      <c r="C23" s="10"/>
      <c r="D23" s="10"/>
      <c r="E23" s="20"/>
      <c r="F23" s="10"/>
      <c r="G23" s="10"/>
      <c r="H23" s="7"/>
      <c r="I23" s="10"/>
      <c r="J23" s="7"/>
      <c r="K23" s="7"/>
      <c r="L23" s="7"/>
      <c r="M23" s="7"/>
      <c r="N23" s="7"/>
      <c r="O23" s="7"/>
      <c r="P23" s="10"/>
    </row>
    <row r="24" spans="1:16" ht="15" thickBot="1" x14ac:dyDescent="0.4">
      <c r="A24" s="8"/>
      <c r="B24" s="11"/>
      <c r="C24" s="11"/>
      <c r="D24" s="11"/>
      <c r="E24" s="22"/>
      <c r="F24" s="11"/>
      <c r="G24" s="11"/>
      <c r="H24" s="14"/>
      <c r="I24" s="11"/>
      <c r="J24" s="8"/>
      <c r="K24" s="8"/>
      <c r="L24" s="8"/>
      <c r="M24" s="8"/>
      <c r="N24" s="8"/>
      <c r="O24" s="8"/>
      <c r="P24" s="11"/>
    </row>
  </sheetData>
  <mergeCells count="80">
    <mergeCell ref="N5:N9"/>
    <mergeCell ref="O5:O9"/>
    <mergeCell ref="P5:P9"/>
    <mergeCell ref="O20:O24"/>
    <mergeCell ref="P20:P24"/>
    <mergeCell ref="O15:O19"/>
    <mergeCell ref="P15:P19"/>
    <mergeCell ref="A5:A9"/>
    <mergeCell ref="B5:B9"/>
    <mergeCell ref="C5:C9"/>
    <mergeCell ref="D5:D9"/>
    <mergeCell ref="F5:F9"/>
    <mergeCell ref="E5:E9"/>
    <mergeCell ref="G5:G9"/>
    <mergeCell ref="H5:H9"/>
    <mergeCell ref="I5:I9"/>
    <mergeCell ref="I20:I24"/>
    <mergeCell ref="J20:J24"/>
    <mergeCell ref="G20:G24"/>
    <mergeCell ref="H20:H24"/>
    <mergeCell ref="H15:H19"/>
    <mergeCell ref="I15:I19"/>
    <mergeCell ref="J15:J19"/>
    <mergeCell ref="G15:G19"/>
    <mergeCell ref="G10:G14"/>
    <mergeCell ref="K20:K24"/>
    <mergeCell ref="L20:L24"/>
    <mergeCell ref="M20:M24"/>
    <mergeCell ref="N20:N24"/>
    <mergeCell ref="N15:N19"/>
    <mergeCell ref="K15:K19"/>
    <mergeCell ref="L15:L19"/>
    <mergeCell ref="M15:M19"/>
    <mergeCell ref="A20:A24"/>
    <mergeCell ref="B20:B24"/>
    <mergeCell ref="C20:C24"/>
    <mergeCell ref="D20:D24"/>
    <mergeCell ref="F20:F24"/>
    <mergeCell ref="E20:E24"/>
    <mergeCell ref="A15:A19"/>
    <mergeCell ref="B15:B19"/>
    <mergeCell ref="C15:C19"/>
    <mergeCell ref="D15:D19"/>
    <mergeCell ref="F15:F19"/>
    <mergeCell ref="E15:E19"/>
    <mergeCell ref="M10:M14"/>
    <mergeCell ref="O10:O14"/>
    <mergeCell ref="P10:P14"/>
    <mergeCell ref="H1:H4"/>
    <mergeCell ref="H10:H14"/>
    <mergeCell ref="N1:N4"/>
    <mergeCell ref="J5:J9"/>
    <mergeCell ref="K5:K9"/>
    <mergeCell ref="L5:L9"/>
    <mergeCell ref="M5:M9"/>
    <mergeCell ref="I10:I14"/>
    <mergeCell ref="J10:J14"/>
    <mergeCell ref="K10:K14"/>
    <mergeCell ref="L10:L14"/>
    <mergeCell ref="N10:N14"/>
    <mergeCell ref="K1:K4"/>
    <mergeCell ref="A10:A14"/>
    <mergeCell ref="B10:B14"/>
    <mergeCell ref="C10:C14"/>
    <mergeCell ref="D10:D14"/>
    <mergeCell ref="F10:F14"/>
    <mergeCell ref="E10:E14"/>
    <mergeCell ref="O1:O4"/>
    <mergeCell ref="P1:P4"/>
    <mergeCell ref="L1:L4"/>
    <mergeCell ref="A1:A4"/>
    <mergeCell ref="B1:B4"/>
    <mergeCell ref="C1:C4"/>
    <mergeCell ref="D1:D4"/>
    <mergeCell ref="F1:F4"/>
    <mergeCell ref="I1:I4"/>
    <mergeCell ref="M1:M4"/>
    <mergeCell ref="G1:G4"/>
    <mergeCell ref="J1:J4"/>
    <mergeCell ref="E1:E4"/>
  </mergeCells>
  <pageMargins left="0.7" right="0.7" top="0.75" bottom="0.75" header="0.3" footer="0.3"/>
  <pageSetup paperSize="9" scale="63" fitToHeight="0" orientation="landscape" r:id="rId1"/>
  <headerFooter>
    <oddHeader>&amp;R&amp;"Calibri"&amp;12&amp;K000000 ZF-Lifetec Confidential&amp;1#_x000D_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3" ma:contentTypeDescription="Ein neues Dokument erstellen." ma:contentTypeScope="" ma:versionID="33e5b9f17f564444262d10d195f80364">
  <xsd:schema xmlns:xsd="http://www.w3.org/2001/XMLSchema" xmlns:xs="http://www.w3.org/2001/XMLSchema" xmlns:p="http://schemas.microsoft.com/office/2006/metadata/properties" xmlns:ns2="c58f02bd-e0b7-474b-a2bc-9a19f162f3a8" targetNamespace="http://schemas.microsoft.com/office/2006/metadata/properties" ma:root="true" ma:fieldsID="d564844f0ef82412df5d67f75bfd6bd4" ns2:_="">
    <xsd:import namespace="c58f02bd-e0b7-474b-a2bc-9a19f162f3a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4EEDBF-9F42-45C2-8738-9E4700311921}"/>
</file>

<file path=customXml/itemProps2.xml><?xml version="1.0" encoding="utf-8"?>
<ds:datastoreItem xmlns:ds="http://schemas.openxmlformats.org/officeDocument/2006/customXml" ds:itemID="{DEAC6689-BBD9-493D-8B82-78309B1E0B1F}"/>
</file>

<file path=customXml/itemProps3.xml><?xml version="1.0" encoding="utf-8"?>
<ds:datastoreItem xmlns:ds="http://schemas.openxmlformats.org/officeDocument/2006/customXml" ds:itemID="{B63A6C70-B90F-42FF-B4C6-FF6AFF1BFF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2025-09-04T17:14:09Z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ContentTypeId">
    <vt:lpwstr>0x010100D2AE94798D0E7D4487CB84FC9A87565D</vt:lpwstr>
  </property>
</Properties>
</file>