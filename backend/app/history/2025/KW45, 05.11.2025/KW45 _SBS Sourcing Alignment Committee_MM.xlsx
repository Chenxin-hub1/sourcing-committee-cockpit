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ssivesafety-my.sharepoint.com/personal/xiangwei_chen_zf-lifetec_com/Documents/Program Purchasing RB/01. Sourcing/Sourcing Alignment Committee/KW45, 05.11.2025/"/>
    </mc:Choice>
  </mc:AlternateContent>
  <xr:revisionPtr revIDLastSave="62" documentId="8_{093DF174-0DC9-4368-8ACB-1963A2BDAA91}" xr6:coauthVersionLast="47" xr6:coauthVersionMax="47" xr10:uidLastSave="{65EB0BA2-FE0D-48B3-9A25-1A072F97287F}"/>
  <bookViews>
    <workbookView xWindow="28680" yWindow="-120" windowWidth="29040" windowHeight="15720" xr2:uid="{00000000-000D-0000-FFFF-FFFF00000000}"/>
  </bookViews>
  <sheets>
    <sheet name="KW45, 2025" sheetId="4" r:id="rId1"/>
  </sheets>
  <calcPr calcId="191029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4" l="1"/>
  <c r="W3" i="4"/>
  <c r="R6" i="4"/>
  <c r="S6" i="4"/>
  <c r="W5" i="4"/>
  <c r="V5" i="4"/>
  <c r="Z5" i="4"/>
  <c r="Z4" i="4"/>
  <c r="W4" i="4"/>
  <c r="V4" i="4"/>
  <c r="Z2" i="4"/>
  <c r="W2" i="4"/>
  <c r="V2" i="4"/>
  <c r="V6" i="4" l="1"/>
  <c r="W6" i="4"/>
  <c r="Z6" i="4"/>
</calcChain>
</file>

<file path=xl/sharedStrings.xml><?xml version="1.0" encoding="utf-8"?>
<sst xmlns="http://schemas.openxmlformats.org/spreadsheetml/2006/main" count="89" uniqueCount="83">
  <si>
    <t>#</t>
  </si>
  <si>
    <t>Region</t>
  </si>
  <si>
    <t>Type</t>
  </si>
  <si>
    <t xml:space="preserve">LT Spend </t>
  </si>
  <si>
    <t>Project/ Product</t>
  </si>
  <si>
    <t>Commodity</t>
  </si>
  <si>
    <t>Presenter</t>
  </si>
  <si>
    <t>Decision Level</t>
  </si>
  <si>
    <t>Peak Year Spend</t>
  </si>
  <si>
    <t>SWAT ID / Bundle ID</t>
  </si>
  <si>
    <t>PN</t>
  </si>
  <si>
    <t>Recommended Supplier (s)</t>
  </si>
  <si>
    <t xml:space="preserve">Sourcing Decision </t>
  </si>
  <si>
    <t>Part Description</t>
  </si>
  <si>
    <t>Notes/Task/ Resp./ Due Date</t>
  </si>
  <si>
    <t>Parent PF Code</t>
  </si>
  <si>
    <t>CQA PC PRICE</t>
  </si>
  <si>
    <t>Rec. Supplier Landed</t>
  </si>
  <si>
    <t>Average Volume</t>
  </si>
  <si>
    <t>LT volume</t>
  </si>
  <si>
    <t>LT saving</t>
  </si>
  <si>
    <t xml:space="preserve">Rec. Supplier Tooling </t>
  </si>
  <si>
    <t>Average Year Saving vs CQA</t>
  </si>
  <si>
    <t>CQA Tooling</t>
  </si>
  <si>
    <t>Tooling Saving vs CQA</t>
  </si>
  <si>
    <t>L2</t>
  </si>
  <si>
    <t>EU</t>
  </si>
  <si>
    <t>SPR8</t>
  </si>
  <si>
    <t>CH01</t>
  </si>
  <si>
    <t>CH01014</t>
  </si>
  <si>
    <t>110000237700</t>
  </si>
  <si>
    <t>POWER SNAKE</t>
  </si>
  <si>
    <t>34110445A</t>
  </si>
  <si>
    <t>ALFDORF</t>
  </si>
  <si>
    <t>Alberto Martinez</t>
  </si>
  <si>
    <t>AP</t>
  </si>
  <si>
    <t>New</t>
  </si>
  <si>
    <t>VW CMP21</t>
  </si>
  <si>
    <t>Electric Motors
EA05001</t>
  </si>
  <si>
    <t>Motor Assy</t>
  </si>
  <si>
    <t>R003C494A</t>
  </si>
  <si>
    <t>Wuxi MI Technologies Co., Ltd</t>
  </si>
  <si>
    <t>Chenfei Wang</t>
  </si>
  <si>
    <t>L3</t>
  </si>
  <si>
    <t>1.03 Mio Euro</t>
  </si>
  <si>
    <t>173K Euro</t>
  </si>
  <si>
    <t xml:space="preserve">EU </t>
  </si>
  <si>
    <t>New Part</t>
  </si>
  <si>
    <t>FF04</t>
  </si>
  <si>
    <t>FF0401101</t>
  </si>
  <si>
    <t>B/2025/00228</t>
  </si>
  <si>
    <t>SPR6.1 Locking Pawl - LS Upgrade</t>
  </si>
  <si>
    <t>R000R613A</t>
  </si>
  <si>
    <t>Carbosint</t>
  </si>
  <si>
    <t>Daria Wągiel</t>
  </si>
  <si>
    <t>NA</t>
  </si>
  <si>
    <t>EA05</t>
  </si>
  <si>
    <t>C/O</t>
  </si>
  <si>
    <t>SPR4.1 MGG</t>
  </si>
  <si>
    <t>MI01003</t>
  </si>
  <si>
    <t>110000033401</t>
  </si>
  <si>
    <t>Micro Gas Generator</t>
  </si>
  <si>
    <t>Kayaku Safety Systems Europe</t>
  </si>
  <si>
    <t>Marzena Janus</t>
  </si>
  <si>
    <t>volume based prices; current volume is 10 mio. pcs. If &gt;12 mio. is achieved, savings of 0,08 EUR/pcs (96 K EUR)</t>
  </si>
  <si>
    <t>110000033111</t>
  </si>
  <si>
    <t xml:space="preserve">R002G246A
</t>
  </si>
  <si>
    <t>1.2Mio EUR</t>
  </si>
  <si>
    <t>2,365 Mio Euro</t>
  </si>
  <si>
    <t>676k Euro</t>
  </si>
  <si>
    <t>282K EUR</t>
  </si>
  <si>
    <t>SPR6 Programs (GM,BMW, FORD, JLR, MERCEDES-BENZ, NAC, STELLANTIS, VOLSKWAGEN, VOLVO)</t>
  </si>
  <si>
    <t>MI01</t>
  </si>
  <si>
    <t>Comment</t>
  </si>
  <si>
    <t>Approved</t>
  </si>
  <si>
    <t>Wuxi MI exisiting supplier from ZF, having EPB motor in serial production, new for ZF lifetec.</t>
  </si>
  <si>
    <t>1.1Mio Euro</t>
  </si>
  <si>
    <t>7,5 Mio Euro</t>
  </si>
  <si>
    <t xml:space="preserve">1. NVH test confirmed can be removed. --&gt;Less investment.
2. Current supplier Heckler, current price 0,23 Euro/pc
3. AP nominated supplier ASIMCO, but considering USMCA, ASIMCO not recommended
4. Testing with Molykote ongoing </t>
  </si>
  <si>
    <t xml:space="preserve">6. To double check landed cost for NA, to check duty, transportation cost to NA -- SCM Anna to supoprt
</t>
  </si>
  <si>
    <t xml:space="preserve">1. Check what was CQA basis, was manufacturing cost or sales price 0,1878 Euro/pc considered.
To correct it for future cases, we should consider for CQA manufacturing cost, not the IC sales price -- PP Markus, Phil </t>
  </si>
  <si>
    <t>Not approved, 
Pending actions</t>
  </si>
  <si>
    <t>1. Request ASIMCO to quote the drawing of Carbosint R000R613A, Zn Phosphating+2xMolykote D-708 -- CM Daria
2. Request Carbosint to quote the drawing of ASIMCO R0003A915A, Gleitmo SLF9561 -- CM Daria
3. BPG based on EU available, to initiate BPG based on China -- CM Daria
4. To check and get feedback from AP SDE about ASIMCO progress and technical readiness.-- CM Daria (Mail already sent from Summer)
5. Potential VAVE idea to be checked with Carbosint for further cost improvement. -- CM Daria, PP Dawid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</si>
</sst>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-;\-* #,##0_-;_-* &quot;-&quot;??_-;_-@_-"/>
    <numFmt numFmtId="165" formatCode="#,##0.00\ [$CNY]"/>
    <numFmt numFmtId="166" formatCode="#,##0\ [$CNY];\-#,##0\ [$CNY]"/>
    <numFmt numFmtId="167" formatCode="#,##0.00\ [$EUR]"/>
    <numFmt numFmtId="168" formatCode="#,##0.0000\ [$EUR]"/>
    <numFmt numFmtId="169" formatCode="#,##0\ [$EUR]"/>
  </numFmts>
  <fonts count="6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8"/>
      <color rgb="FF00B050"/>
      <name val="Arial"/>
      <family val="2"/>
    </font>
    <font>
      <b/>
      <sz val="8"/>
      <color theme="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3E11"/>
        <bgColor indexed="64"/>
      </patternFill>
    </fill>
    <fill>
      <patternFill patternType="solid">
        <fgColor rgb="FFF6CECC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theme="0"/>
      </left>
      <right style="medium">
        <color rgb="FFFFFFFF"/>
      </right>
      <top style="medium">
        <color theme="0"/>
      </top>
      <bottom style="medium">
        <color theme="0"/>
      </bottom>
      <diagonal/>
    </border>
    <border>
      <left style="medium">
        <color rgb="FFFFFFFF"/>
      </left>
      <right style="medium">
        <color theme="0"/>
      </right>
      <top style="medium">
        <color theme="0"/>
      </top>
      <bottom/>
      <diagonal/>
    </border>
    <border>
      <left style="medium">
        <color rgb="FFFFFFFF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rgb="FFFFFFFF"/>
      </right>
      <top style="medium">
        <color theme="0"/>
      </top>
      <bottom/>
      <diagonal/>
    </border>
    <border>
      <left style="medium">
        <color theme="0"/>
      </left>
      <right style="medium">
        <color rgb="FFFFFFFF"/>
      </right>
      <top/>
      <bottom style="medium">
        <color theme="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wrapText="1"/>
    </xf>
    <xf numFmtId="0" fontId="1" fillId="3" borderId="3" xfId="0" quotePrefix="1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1" fillId="3" borderId="3" xfId="0" quotePrefix="1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3" fontId="1" fillId="3" borderId="3" xfId="0" quotePrefix="1" applyNumberFormat="1" applyFont="1" applyFill="1" applyBorder="1" applyAlignment="1">
      <alignment horizontal="right" vertical="center" wrapText="1" readingOrder="1"/>
    </xf>
    <xf numFmtId="0" fontId="1" fillId="3" borderId="3" xfId="0" quotePrefix="1" applyFont="1" applyFill="1" applyBorder="1" applyAlignment="1">
      <alignment vertical="center" wrapText="1" readingOrder="1"/>
    </xf>
    <xf numFmtId="1" fontId="1" fillId="3" borderId="3" xfId="0" quotePrefix="1" applyNumberFormat="1" applyFont="1" applyFill="1" applyBorder="1" applyAlignment="1">
      <alignment vertical="center" wrapText="1" readingOrder="1"/>
    </xf>
    <xf numFmtId="164" fontId="1" fillId="3" borderId="3" xfId="1" quotePrefix="1" applyNumberFormat="1" applyFont="1" applyFill="1" applyBorder="1" applyAlignment="1">
      <alignment horizontal="right" vertical="center" wrapText="1" readingOrder="1"/>
    </xf>
    <xf numFmtId="165" fontId="1" fillId="3" borderId="3" xfId="0" quotePrefix="1" applyNumberFormat="1" applyFont="1" applyFill="1" applyBorder="1" applyAlignment="1">
      <alignment horizontal="right" vertical="center" wrapText="1" readingOrder="1"/>
    </xf>
    <xf numFmtId="166" fontId="1" fillId="3" borderId="3" xfId="1" quotePrefix="1" applyNumberFormat="1" applyFont="1" applyFill="1" applyBorder="1" applyAlignment="1">
      <alignment horizontal="right" vertical="center" wrapText="1" readingOrder="1"/>
    </xf>
    <xf numFmtId="167" fontId="1" fillId="3" borderId="3" xfId="0" quotePrefix="1" applyNumberFormat="1" applyFont="1" applyFill="1" applyBorder="1" applyAlignment="1">
      <alignment horizontal="right" vertical="center" wrapText="1" readingOrder="1"/>
    </xf>
    <xf numFmtId="168" fontId="1" fillId="3" borderId="3" xfId="0" quotePrefix="1" applyNumberFormat="1" applyFont="1" applyFill="1" applyBorder="1" applyAlignment="1">
      <alignment horizontal="right" vertical="center" wrapText="1" readingOrder="1"/>
    </xf>
    <xf numFmtId="169" fontId="1" fillId="3" borderId="3" xfId="0" quotePrefix="1" applyNumberFormat="1" applyFont="1" applyFill="1" applyBorder="1" applyAlignment="1">
      <alignment horizontal="right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0" fontId="1" fillId="3" borderId="3" xfId="0" quotePrefix="1" applyFont="1" applyFill="1" applyBorder="1" applyAlignment="1">
      <alignment horizontal="left" vertical="top" wrapText="1" readingOrder="1"/>
    </xf>
    <xf numFmtId="0" fontId="1" fillId="3" borderId="3" xfId="0" quotePrefix="1" applyNumberFormat="1" applyFont="1" applyFill="1" applyBorder="1" applyAlignment="1">
      <alignment horizontal="right" vertical="center" wrapText="1" readingOrder="1"/>
    </xf>
    <xf numFmtId="0" fontId="1" fillId="3" borderId="8" xfId="0" quotePrefix="1" applyFont="1" applyFill="1" applyBorder="1" applyAlignment="1">
      <alignment vertical="center" wrapText="1" readingOrder="1"/>
    </xf>
    <xf numFmtId="0" fontId="1" fillId="3" borderId="9" xfId="0" quotePrefix="1" applyFont="1" applyFill="1" applyBorder="1" applyAlignment="1">
      <alignment vertical="center" wrapText="1" readingOrder="1"/>
    </xf>
    <xf numFmtId="0" fontId="1" fillId="3" borderId="4" xfId="0" quotePrefix="1" applyFont="1" applyFill="1" applyBorder="1" applyAlignment="1">
      <alignment vertical="center" wrapText="1" readingOrder="1"/>
    </xf>
    <xf numFmtId="0" fontId="1" fillId="3" borderId="5" xfId="0" quotePrefix="1" applyFont="1" applyFill="1" applyBorder="1" applyAlignment="1">
      <alignment vertical="center" wrapText="1" readingOrder="1"/>
    </xf>
    <xf numFmtId="0" fontId="1" fillId="3" borderId="6" xfId="0" quotePrefix="1" applyFont="1" applyFill="1" applyBorder="1" applyAlignment="1">
      <alignment vertical="center" wrapText="1" readingOrder="1"/>
    </xf>
    <xf numFmtId="0" fontId="1" fillId="3" borderId="7" xfId="0" quotePrefix="1" applyFont="1" applyFill="1" applyBorder="1" applyAlignment="1">
      <alignment vertical="center" wrapText="1" readingOrder="1"/>
    </xf>
    <xf numFmtId="0" fontId="1" fillId="3" borderId="8" xfId="0" quotePrefix="1" applyFont="1" applyFill="1" applyBorder="1" applyAlignment="1">
      <alignment horizontal="center" vertical="center" wrapText="1" readingOrder="1"/>
    </xf>
    <xf numFmtId="0" fontId="1" fillId="3" borderId="9" xfId="0" quotePrefix="1" applyFont="1" applyFill="1" applyBorder="1" applyAlignment="1">
      <alignment horizontal="center" vertical="center" wrapText="1" readingOrder="1"/>
    </xf>
    <xf numFmtId="0" fontId="4" fillId="3" borderId="3" xfId="0" quotePrefix="1" applyFont="1" applyFill="1" applyBorder="1" applyAlignment="1">
      <alignment horizontal="center" vertical="center" wrapText="1" readingOrder="1"/>
    </xf>
    <xf numFmtId="0" fontId="1" fillId="3" borderId="6" xfId="0" quotePrefix="1" applyFont="1" applyFill="1" applyBorder="1" applyAlignment="1">
      <alignment horizontal="center" vertical="center" wrapText="1" readingOrder="1"/>
    </xf>
    <xf numFmtId="0" fontId="1" fillId="3" borderId="7" xfId="0" quotePrefix="1" applyFont="1" applyFill="1" applyBorder="1" applyAlignment="1">
      <alignment horizontal="center" vertical="center" wrapText="1" readingOrder="1"/>
    </xf>
    <xf numFmtId="0" fontId="5" fillId="3" borderId="6" xfId="0" quotePrefix="1" applyFont="1" applyFill="1" applyBorder="1" applyAlignment="1">
      <alignment horizontal="center" vertical="center" wrapText="1" readingOrder="1"/>
    </xf>
    <xf numFmtId="0" fontId="5" fillId="3" borderId="7" xfId="0" quotePrefix="1" applyFont="1" applyFill="1" applyBorder="1" applyAlignment="1">
      <alignment horizontal="center" vertical="center" wrapText="1" readingOrder="1"/>
    </xf>
  </cellXfs>
  <cellStyles count="2">
    <cellStyle name="Comma" xfId="1" builtinId="3"/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1669-4D19-42D8-86BB-E55FDF20445A}">
  <dimension ref="A1:AB34"/>
  <sheetViews>
    <sheetView tabSelected="1" zoomScaleNormal="100" workbookViewId="0">
      <selection activeCell="Q4" sqref="Q4"/>
    </sheetView>
  </sheetViews>
  <sheetFormatPr defaultColWidth="9.1796875" defaultRowHeight="14.5" x14ac:dyDescent="0.35"/>
  <cols>
    <col min="1" max="3" width="8.7265625" style="7"/>
    <col min="4" max="4" width="12.08984375" style="7" customWidth="1"/>
    <col min="5" max="5" width="8.7265625" style="7"/>
    <col min="6" max="6" width="11.1796875" style="7" customWidth="1"/>
    <col min="7" max="7" width="12.453125" customWidth="1"/>
    <col min="8" max="8" width="10.81640625" customWidth="1"/>
    <col min="9" max="9" width="13.81640625" customWidth="1"/>
    <col min="10" max="10" width="14.453125" customWidth="1"/>
    <col min="11" max="11" width="10.1796875" customWidth="1"/>
    <col min="13" max="13" width="12" customWidth="1"/>
    <col min="14" max="14" width="10.1796875" customWidth="1"/>
    <col min="15" max="15" width="33.08984375" customWidth="1"/>
    <col min="16" max="16" width="20.54296875" customWidth="1"/>
    <col min="17" max="17" width="30.453125" customWidth="1"/>
    <col min="18" max="22" width="10.6328125" customWidth="1"/>
    <col min="23" max="23" width="11.453125" customWidth="1"/>
    <col min="24" max="25" width="10.6328125" customWidth="1"/>
    <col min="26" max="26" width="12" customWidth="1"/>
  </cols>
  <sheetData>
    <row r="1" spans="1:28" s="1" customFormat="1" ht="42.65" customHeight="1" thickBot="1" x14ac:dyDescent="0.4">
      <c r="A1" s="5" t="s">
        <v>0</v>
      </c>
      <c r="B1" s="5" t="s">
        <v>1</v>
      </c>
      <c r="C1" s="5" t="s">
        <v>2</v>
      </c>
      <c r="D1" s="5" t="s">
        <v>4</v>
      </c>
      <c r="E1" s="5" t="s">
        <v>5</v>
      </c>
      <c r="F1" s="5" t="s">
        <v>15</v>
      </c>
      <c r="G1" s="3" t="s">
        <v>9</v>
      </c>
      <c r="H1" s="3" t="s">
        <v>13</v>
      </c>
      <c r="I1" s="3" t="s">
        <v>10</v>
      </c>
      <c r="J1" s="3" t="s">
        <v>11</v>
      </c>
      <c r="K1" s="3" t="s">
        <v>6</v>
      </c>
      <c r="L1" s="3" t="s">
        <v>7</v>
      </c>
      <c r="M1" s="3" t="s">
        <v>8</v>
      </c>
      <c r="N1" s="3" t="s">
        <v>3</v>
      </c>
      <c r="O1" s="3" t="s">
        <v>73</v>
      </c>
      <c r="P1" s="5" t="s">
        <v>12</v>
      </c>
      <c r="Q1" s="3" t="s">
        <v>14</v>
      </c>
      <c r="R1" s="17" t="s">
        <v>16</v>
      </c>
      <c r="S1" s="17" t="s">
        <v>17</v>
      </c>
      <c r="T1" s="18" t="s">
        <v>18</v>
      </c>
      <c r="U1" s="18" t="s">
        <v>19</v>
      </c>
      <c r="V1" s="18" t="s">
        <v>22</v>
      </c>
      <c r="W1" s="18" t="s">
        <v>20</v>
      </c>
      <c r="X1" s="17" t="s">
        <v>23</v>
      </c>
      <c r="Y1" s="17" t="s">
        <v>21</v>
      </c>
      <c r="Z1" s="17" t="s">
        <v>24</v>
      </c>
    </row>
    <row r="2" spans="1:28" s="1" customFormat="1" ht="40" customHeight="1" thickBot="1" x14ac:dyDescent="0.4">
      <c r="A2" s="4">
        <v>1</v>
      </c>
      <c r="B2" s="9" t="s">
        <v>35</v>
      </c>
      <c r="C2" s="9" t="s">
        <v>36</v>
      </c>
      <c r="D2" s="9" t="s">
        <v>37</v>
      </c>
      <c r="E2" s="9" t="s">
        <v>56</v>
      </c>
      <c r="F2" s="9" t="s">
        <v>38</v>
      </c>
      <c r="G2" s="10" t="s">
        <v>65</v>
      </c>
      <c r="H2" s="9" t="s">
        <v>39</v>
      </c>
      <c r="I2" s="9" t="s">
        <v>40</v>
      </c>
      <c r="J2" s="9" t="s">
        <v>41</v>
      </c>
      <c r="K2" s="9" t="s">
        <v>42</v>
      </c>
      <c r="L2" s="9" t="s">
        <v>43</v>
      </c>
      <c r="M2" s="9" t="s">
        <v>45</v>
      </c>
      <c r="N2" s="9" t="s">
        <v>44</v>
      </c>
      <c r="O2" s="9" t="s">
        <v>75</v>
      </c>
      <c r="P2" s="29" t="s">
        <v>74</v>
      </c>
      <c r="Q2" s="2"/>
      <c r="R2" s="12">
        <v>19.3</v>
      </c>
      <c r="S2" s="12">
        <v>19.3</v>
      </c>
      <c r="T2" s="11">
        <v>46902</v>
      </c>
      <c r="U2" s="11">
        <v>422115</v>
      </c>
      <c r="V2" s="12">
        <f>(S2-R2)*T2</f>
        <v>0</v>
      </c>
      <c r="W2" s="12">
        <f>(S2-R2)*U2</f>
        <v>0</v>
      </c>
      <c r="X2" s="13">
        <v>0</v>
      </c>
      <c r="Y2" s="13">
        <v>1350000</v>
      </c>
      <c r="Z2" s="13">
        <f>Y2-X2</f>
        <v>1350000</v>
      </c>
    </row>
    <row r="3" spans="1:28" s="1" customFormat="1" ht="44.15" customHeight="1" thickBot="1" x14ac:dyDescent="0.4">
      <c r="A3" s="4">
        <v>2</v>
      </c>
      <c r="B3" s="2" t="s">
        <v>26</v>
      </c>
      <c r="C3" s="2" t="s">
        <v>57</v>
      </c>
      <c r="D3" s="2" t="s">
        <v>58</v>
      </c>
      <c r="E3" s="2" t="s">
        <v>72</v>
      </c>
      <c r="F3" s="2" t="s">
        <v>59</v>
      </c>
      <c r="G3" s="2" t="s">
        <v>60</v>
      </c>
      <c r="H3" s="2" t="s">
        <v>61</v>
      </c>
      <c r="I3" s="2" t="s">
        <v>66</v>
      </c>
      <c r="J3" s="2" t="s">
        <v>62</v>
      </c>
      <c r="K3" s="2" t="s">
        <v>63</v>
      </c>
      <c r="L3" s="2" t="s">
        <v>43</v>
      </c>
      <c r="M3" s="2" t="s">
        <v>70</v>
      </c>
      <c r="N3" s="2" t="s">
        <v>67</v>
      </c>
      <c r="O3" s="9" t="s">
        <v>64</v>
      </c>
      <c r="P3" s="29" t="s">
        <v>74</v>
      </c>
      <c r="Q3" s="19"/>
      <c r="R3" s="15">
        <v>1.0755999999999999</v>
      </c>
      <c r="S3" s="15">
        <v>1.0755999999999999</v>
      </c>
      <c r="T3" s="8">
        <v>172833</v>
      </c>
      <c r="U3" s="8">
        <v>1037000</v>
      </c>
      <c r="V3" s="16">
        <v>0</v>
      </c>
      <c r="W3" s="20">
        <f>(S3-R3)*T3</f>
        <v>0</v>
      </c>
      <c r="X3" s="16">
        <v>0</v>
      </c>
      <c r="Y3" s="16">
        <v>0</v>
      </c>
      <c r="Z3" s="16">
        <f>Y3-X3</f>
        <v>0</v>
      </c>
    </row>
    <row r="4" spans="1:28" s="1" customFormat="1" ht="146" customHeight="1" thickBot="1" x14ac:dyDescent="0.4">
      <c r="A4" s="27">
        <v>3</v>
      </c>
      <c r="B4" s="9" t="s">
        <v>46</v>
      </c>
      <c r="C4" s="23" t="s">
        <v>47</v>
      </c>
      <c r="D4" s="25" t="s">
        <v>71</v>
      </c>
      <c r="E4" s="25" t="s">
        <v>48</v>
      </c>
      <c r="F4" s="25" t="s">
        <v>49</v>
      </c>
      <c r="G4" s="25" t="s">
        <v>50</v>
      </c>
      <c r="H4" s="25" t="s">
        <v>51</v>
      </c>
      <c r="I4" s="25" t="s">
        <v>52</v>
      </c>
      <c r="J4" s="25" t="s">
        <v>53</v>
      </c>
      <c r="K4" s="25" t="s">
        <v>54</v>
      </c>
      <c r="L4" s="21" t="s">
        <v>25</v>
      </c>
      <c r="M4" s="23" t="s">
        <v>76</v>
      </c>
      <c r="N4" s="25" t="s">
        <v>77</v>
      </c>
      <c r="O4" s="30" t="s">
        <v>78</v>
      </c>
      <c r="P4" s="32" t="s">
        <v>81</v>
      </c>
      <c r="Q4" s="2" t="s">
        <v>82</v>
      </c>
      <c r="R4" s="14">
        <v>0.12</v>
      </c>
      <c r="S4" s="15">
        <v>0.2087</v>
      </c>
      <c r="T4" s="8">
        <v>4610942</v>
      </c>
      <c r="U4" s="8">
        <v>32276597</v>
      </c>
      <c r="V4" s="16">
        <f>T4*(S4-R4)</f>
        <v>408990.55540000001</v>
      </c>
      <c r="W4" s="16">
        <f>U4*(S4-R4)</f>
        <v>2862934.1539000003</v>
      </c>
      <c r="X4" s="16">
        <v>40000</v>
      </c>
      <c r="Y4" s="16">
        <v>284000</v>
      </c>
      <c r="Z4" s="16">
        <f>Y4-X4</f>
        <v>244000</v>
      </c>
      <c r="AB4"/>
    </row>
    <row r="5" spans="1:28" s="1" customFormat="1" ht="67.5" customHeight="1" thickBot="1" x14ac:dyDescent="0.4">
      <c r="A5" s="28"/>
      <c r="B5" s="9" t="s">
        <v>55</v>
      </c>
      <c r="C5" s="24"/>
      <c r="D5" s="26"/>
      <c r="E5" s="26"/>
      <c r="F5" s="26"/>
      <c r="G5" s="26"/>
      <c r="H5" s="26"/>
      <c r="I5" s="26"/>
      <c r="J5" s="26"/>
      <c r="K5" s="26"/>
      <c r="L5" s="22"/>
      <c r="M5" s="24"/>
      <c r="N5" s="26"/>
      <c r="O5" s="31"/>
      <c r="P5" s="33"/>
      <c r="Q5" s="2" t="s">
        <v>79</v>
      </c>
      <c r="R5" s="14">
        <v>0.23433000000000001</v>
      </c>
      <c r="S5" s="15">
        <v>0.21165999999999999</v>
      </c>
      <c r="T5" s="8">
        <v>1068308</v>
      </c>
      <c r="U5" s="8">
        <v>9614770</v>
      </c>
      <c r="V5" s="16">
        <f>T5*(S5-R5)</f>
        <v>-24218.542360000025</v>
      </c>
      <c r="W5" s="16">
        <f>U5*(S5-R5)</f>
        <v>-217966.83590000024</v>
      </c>
      <c r="X5" s="16">
        <v>0</v>
      </c>
      <c r="Y5" s="16">
        <v>0</v>
      </c>
      <c r="Z5" s="16">
        <f>Y5-X5</f>
        <v>0</v>
      </c>
      <c r="AB5"/>
    </row>
    <row r="6" spans="1:28" s="1" customFormat="1" ht="72" customHeight="1" thickBot="1" x14ac:dyDescent="0.4">
      <c r="A6" s="4">
        <v>4</v>
      </c>
      <c r="B6" s="9" t="s">
        <v>26</v>
      </c>
      <c r="C6" s="2" t="s">
        <v>57</v>
      </c>
      <c r="D6" s="9" t="s">
        <v>27</v>
      </c>
      <c r="E6" s="9" t="s">
        <v>28</v>
      </c>
      <c r="F6" s="9" t="s">
        <v>29</v>
      </c>
      <c r="G6" s="9" t="s">
        <v>30</v>
      </c>
      <c r="H6" s="9" t="s">
        <v>31</v>
      </c>
      <c r="I6" s="9" t="s">
        <v>32</v>
      </c>
      <c r="J6" s="9" t="s">
        <v>33</v>
      </c>
      <c r="K6" s="9" t="s">
        <v>34</v>
      </c>
      <c r="L6" s="9" t="s">
        <v>25</v>
      </c>
      <c r="M6" s="9" t="s">
        <v>69</v>
      </c>
      <c r="N6" s="9" t="s">
        <v>68</v>
      </c>
      <c r="O6" s="9"/>
      <c r="P6" s="29" t="s">
        <v>74</v>
      </c>
      <c r="Q6" s="2" t="s">
        <v>80</v>
      </c>
      <c r="R6" s="14">
        <f>19.03/100</f>
        <v>0.19030000000000002</v>
      </c>
      <c r="S6" s="15">
        <f>12.75/100</f>
        <v>0.1275</v>
      </c>
      <c r="T6" s="8">
        <v>2318750</v>
      </c>
      <c r="U6" s="8">
        <v>18550000</v>
      </c>
      <c r="V6" s="16">
        <f>(S6-R6)*T6</f>
        <v>-145617.50000000006</v>
      </c>
      <c r="W6" s="16">
        <f>(S6-R6)*U6</f>
        <v>-1164940.0000000005</v>
      </c>
      <c r="X6" s="16">
        <v>0</v>
      </c>
      <c r="Y6" s="16">
        <v>113970</v>
      </c>
      <c r="Z6" s="16">
        <f>X6-Y6</f>
        <v>-113970</v>
      </c>
    </row>
    <row r="7" spans="1:28" s="1" customFormat="1" ht="40" customHeight="1" thickBot="1" x14ac:dyDescent="0.4">
      <c r="A7" s="4"/>
      <c r="B7" s="4"/>
      <c r="C7" s="4"/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8" s="1" customFormat="1" ht="40" customHeight="1" thickBot="1" x14ac:dyDescent="0.4">
      <c r="A8" s="4"/>
      <c r="B8" s="4"/>
      <c r="C8" s="4"/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8" s="1" customFormat="1" ht="42.65" customHeight="1" x14ac:dyDescent="0.35">
      <c r="A9" s="6"/>
      <c r="B9" s="6"/>
      <c r="C9" s="6"/>
      <c r="D9" s="6"/>
      <c r="E9" s="6"/>
      <c r="F9" s="6"/>
    </row>
    <row r="10" spans="1:28" s="1" customFormat="1" ht="42.65" customHeight="1" x14ac:dyDescent="0.35">
      <c r="A10" s="6"/>
      <c r="B10" s="6"/>
      <c r="C10" s="6"/>
      <c r="D10" s="6"/>
      <c r="E10" s="6"/>
      <c r="F10" s="6"/>
    </row>
    <row r="11" spans="1:28" s="1" customFormat="1" ht="42.65" customHeight="1" x14ac:dyDescent="0.35">
      <c r="A11" s="6"/>
      <c r="B11" s="6"/>
      <c r="C11" s="6"/>
      <c r="D11" s="6"/>
      <c r="E11" s="6"/>
      <c r="F11" s="6"/>
    </row>
    <row r="12" spans="1:28" s="1" customFormat="1" ht="42.65" customHeight="1" x14ac:dyDescent="0.35">
      <c r="A12" s="6"/>
      <c r="B12" s="6"/>
      <c r="C12" s="6"/>
      <c r="D12" s="6"/>
      <c r="E12" s="6"/>
      <c r="F12" s="6"/>
    </row>
    <row r="13" spans="1:28" s="1" customFormat="1" ht="42.65" customHeight="1" x14ac:dyDescent="0.35">
      <c r="A13" s="6"/>
      <c r="B13" s="6"/>
      <c r="C13" s="6"/>
      <c r="D13" s="6"/>
      <c r="E13" s="6"/>
      <c r="F13" s="6"/>
    </row>
    <row r="14" spans="1:28" s="1" customFormat="1" ht="42.65" customHeight="1" x14ac:dyDescent="0.35">
      <c r="A14" s="6"/>
      <c r="B14" s="6"/>
      <c r="C14" s="6"/>
      <c r="D14" s="6"/>
      <c r="E14" s="6"/>
      <c r="F14" s="6"/>
    </row>
    <row r="15" spans="1:28" s="1" customFormat="1" ht="42.65" customHeight="1" x14ac:dyDescent="0.35">
      <c r="A15" s="6"/>
      <c r="B15" s="6"/>
      <c r="C15" s="6"/>
      <c r="D15" s="6"/>
      <c r="E15" s="6"/>
      <c r="F15" s="6"/>
    </row>
    <row r="16" spans="1:28" s="1" customFormat="1" ht="42.65" customHeight="1" x14ac:dyDescent="0.35">
      <c r="A16" s="6"/>
      <c r="B16" s="6"/>
      <c r="C16" s="6"/>
      <c r="D16" s="6"/>
      <c r="E16" s="6"/>
      <c r="F16" s="6"/>
    </row>
    <row r="17" spans="1:6" s="1" customFormat="1" ht="42.65" customHeight="1" x14ac:dyDescent="0.35">
      <c r="A17" s="6"/>
      <c r="B17" s="6"/>
      <c r="C17" s="6"/>
      <c r="D17" s="6"/>
      <c r="E17" s="6"/>
      <c r="F17" s="6"/>
    </row>
    <row r="18" spans="1:6" s="1" customFormat="1" ht="42.65" customHeight="1" x14ac:dyDescent="0.35">
      <c r="A18" s="6"/>
      <c r="B18" s="6"/>
      <c r="C18" s="6"/>
      <c r="D18" s="6"/>
      <c r="E18" s="6"/>
      <c r="F18" s="6"/>
    </row>
    <row r="19" spans="1:6" s="1" customFormat="1" ht="42.65" customHeight="1" x14ac:dyDescent="0.35">
      <c r="A19" s="6"/>
      <c r="B19" s="6"/>
      <c r="C19" s="6"/>
      <c r="D19" s="6"/>
      <c r="E19" s="6"/>
      <c r="F19" s="6"/>
    </row>
    <row r="20" spans="1:6" s="1" customFormat="1" ht="42.65" customHeight="1" x14ac:dyDescent="0.35">
      <c r="A20" s="6"/>
      <c r="B20" s="6"/>
      <c r="C20" s="6"/>
      <c r="D20" s="6"/>
      <c r="E20" s="6"/>
      <c r="F20" s="6"/>
    </row>
    <row r="21" spans="1:6" s="1" customFormat="1" ht="42.65" customHeight="1" x14ac:dyDescent="0.35">
      <c r="A21" s="6"/>
      <c r="B21" s="6"/>
      <c r="C21" s="6"/>
      <c r="D21" s="6"/>
      <c r="E21" s="6"/>
      <c r="F21" s="6"/>
    </row>
    <row r="22" spans="1:6" s="1" customFormat="1" ht="42.65" customHeight="1" x14ac:dyDescent="0.35">
      <c r="A22" s="6"/>
      <c r="B22" s="6"/>
      <c r="C22" s="6"/>
      <c r="D22" s="6"/>
      <c r="E22" s="6"/>
      <c r="F22" s="6"/>
    </row>
    <row r="23" spans="1:6" s="1" customFormat="1" ht="42.65" customHeight="1" x14ac:dyDescent="0.35">
      <c r="A23" s="6"/>
      <c r="B23" s="6"/>
      <c r="C23" s="6"/>
      <c r="D23" s="6"/>
      <c r="E23" s="6"/>
      <c r="F23" s="6"/>
    </row>
    <row r="24" spans="1:6" s="1" customFormat="1" ht="42.65" customHeight="1" x14ac:dyDescent="0.35">
      <c r="A24" s="6"/>
      <c r="B24" s="6"/>
      <c r="C24" s="6"/>
      <c r="D24" s="6"/>
      <c r="E24" s="6"/>
      <c r="F24" s="6"/>
    </row>
    <row r="25" spans="1:6" s="1" customFormat="1" ht="42.65" customHeight="1" x14ac:dyDescent="0.35">
      <c r="A25" s="6"/>
      <c r="B25" s="6"/>
      <c r="C25" s="6"/>
      <c r="D25" s="6"/>
      <c r="E25" s="6"/>
      <c r="F25" s="6"/>
    </row>
    <row r="26" spans="1:6" s="1" customFormat="1" ht="42.65" customHeight="1" x14ac:dyDescent="0.35">
      <c r="A26" s="6"/>
      <c r="B26" s="6"/>
      <c r="C26" s="6"/>
      <c r="D26" s="6"/>
      <c r="E26" s="6"/>
      <c r="F26" s="6"/>
    </row>
    <row r="27" spans="1:6" s="1" customFormat="1" ht="42.65" customHeight="1" x14ac:dyDescent="0.35">
      <c r="A27" s="6"/>
      <c r="B27" s="6"/>
      <c r="C27" s="6"/>
      <c r="D27" s="6"/>
      <c r="E27" s="6"/>
      <c r="F27" s="6"/>
    </row>
    <row r="28" spans="1:6" s="1" customFormat="1" ht="42.65" customHeight="1" x14ac:dyDescent="0.35">
      <c r="A28" s="6"/>
      <c r="B28" s="6"/>
      <c r="C28" s="6"/>
      <c r="D28" s="6"/>
      <c r="E28" s="6"/>
      <c r="F28" s="6"/>
    </row>
    <row r="29" spans="1:6" s="1" customFormat="1" ht="42.65" customHeight="1" x14ac:dyDescent="0.35">
      <c r="A29" s="6"/>
      <c r="B29" s="6"/>
      <c r="C29" s="6"/>
      <c r="D29" s="6"/>
      <c r="E29" s="6"/>
      <c r="F29" s="6"/>
    </row>
    <row r="30" spans="1:6" s="1" customFormat="1" ht="42.65" customHeight="1" x14ac:dyDescent="0.35">
      <c r="A30" s="6"/>
      <c r="B30" s="6"/>
      <c r="C30" s="6"/>
      <c r="D30" s="6"/>
      <c r="E30" s="6"/>
      <c r="F30" s="6"/>
    </row>
    <row r="31" spans="1:6" s="1" customFormat="1" ht="42.65" customHeight="1" x14ac:dyDescent="0.35">
      <c r="A31" s="6"/>
      <c r="B31" s="6"/>
      <c r="C31" s="6"/>
      <c r="D31" s="6"/>
      <c r="E31" s="6"/>
      <c r="F31" s="6"/>
    </row>
    <row r="32" spans="1:6" s="1" customFormat="1" ht="42.65" customHeight="1" x14ac:dyDescent="0.35">
      <c r="A32" s="6"/>
      <c r="B32" s="6"/>
      <c r="C32" s="6"/>
      <c r="D32" s="6"/>
      <c r="E32" s="6"/>
      <c r="F32" s="6"/>
    </row>
    <row r="33" spans="1:6" s="1" customFormat="1" ht="42.65" customHeight="1" x14ac:dyDescent="0.35">
      <c r="A33" s="6"/>
      <c r="B33" s="6"/>
      <c r="C33" s="6"/>
      <c r="D33" s="6"/>
      <c r="E33" s="6"/>
      <c r="F33" s="6"/>
    </row>
    <row r="34" spans="1:6" s="1" customFormat="1" ht="42.65" customHeight="1" x14ac:dyDescent="0.35">
      <c r="A34" s="6"/>
      <c r="B34" s="6"/>
      <c r="C34" s="6"/>
      <c r="D34" s="6"/>
      <c r="E34" s="6"/>
      <c r="F34" s="6"/>
    </row>
  </sheetData>
  <mergeCells count="15">
    <mergeCell ref="O4:O5"/>
    <mergeCell ref="P4:P5"/>
    <mergeCell ref="F4:F5"/>
    <mergeCell ref="A4:A5"/>
    <mergeCell ref="C4:C5"/>
    <mergeCell ref="D4:D5"/>
    <mergeCell ref="E4:E5"/>
    <mergeCell ref="L4:L5"/>
    <mergeCell ref="M4:M5"/>
    <mergeCell ref="N4:N5"/>
    <mergeCell ref="G4:G5"/>
    <mergeCell ref="H4:H5"/>
    <mergeCell ref="I4:I5"/>
    <mergeCell ref="J4:J5"/>
    <mergeCell ref="K4:K5"/>
  </mergeCells>
  <conditionalFormatting sqref="V7:V1048576 V7:W8 V1:V3 V4:W5 Z1:Z5 V2:Z3 V6:Z6">
    <cfRule type="cellIs" dxfId="12" priority="24" operator="lessThan">
      <formula>0</formula>
    </cfRule>
  </conditionalFormatting>
  <conditionalFormatting sqref="V6:W6">
    <cfRule type="cellIs" dxfId="11" priority="20" operator="greaterThan">
      <formula>0</formula>
    </cfRule>
    <cfRule type="cellIs" dxfId="10" priority="21" operator="lessThan">
      <formula>0</formula>
    </cfRule>
  </conditionalFormatting>
  <conditionalFormatting sqref="Z7:Z1048576">
    <cfRule type="cellIs" dxfId="9" priority="23" operator="lessThan">
      <formula>0</formula>
    </cfRule>
  </conditionalFormatting>
  <conditionalFormatting sqref="V7:V8 V2:W6 Z2:Z8">
    <cfRule type="cellIs" dxfId="8" priority="18" operator="greaterThan">
      <formula>0</formula>
    </cfRule>
  </conditionalFormatting>
  <conditionalFormatting sqref="Z7:Z8">
    <cfRule type="cellIs" dxfId="7" priority="17" operator="greaterThan">
      <formula>0</formula>
    </cfRule>
  </conditionalFormatting>
  <conditionalFormatting sqref="W3">
    <cfRule type="cellIs" dxfId="6" priority="15" operator="lessThan">
      <formula>0</formula>
    </cfRule>
  </conditionalFormatting>
  <conditionalFormatting sqref="Z7:Z8">
    <cfRule type="cellIs" dxfId="5" priority="11" operator="lessThan">
      <formula>0</formula>
    </cfRule>
  </conditionalFormatting>
  <conditionalFormatting sqref="V6">
    <cfRule type="cellIs" dxfId="4" priority="10" operator="lessThan">
      <formula>0</formula>
    </cfRule>
  </conditionalFormatting>
  <conditionalFormatting sqref="W6">
    <cfRule type="cellIs" dxfId="3" priority="9" operator="lessThan">
      <formula>0</formula>
    </cfRule>
  </conditionalFormatting>
  <conditionalFormatting sqref="Z6">
    <cfRule type="cellIs" dxfId="2" priority="6" operator="lessThan">
      <formula>0</formula>
    </cfRule>
  </conditionalFormatting>
  <conditionalFormatting sqref="V7:W8 W3">
    <cfRule type="cellIs" dxfId="1" priority="3" operator="greaterThan">
      <formula>0</formula>
    </cfRule>
  </conditionalFormatting>
  <conditionalFormatting sqref="V3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  <customProperties>
    <customPr name="_pios_id" r:id="rId2"/>
    <customPr name="Ibp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AE94798D0E7D4487CB84FC9A87565D" ma:contentTypeVersion="10" ma:contentTypeDescription="Ein neues Dokument erstellen." ma:contentTypeScope="" ma:versionID="489a9c820ca95f30f281d2d870c3f154">
  <xsd:schema xmlns:xsd="http://www.w3.org/2001/XMLSchema" xmlns:xs="http://www.w3.org/2001/XMLSchema" xmlns:p="http://schemas.microsoft.com/office/2006/metadata/properties" xmlns:ns2="c58f02bd-e0b7-474b-a2bc-9a19f162f3a8" xmlns:ns3="b7d00205-0ffb-4bc2-b18e-b800942d8fea" targetNamespace="http://schemas.microsoft.com/office/2006/metadata/properties" ma:root="true" ma:fieldsID="8df1e44b885ba372004f019dce495b7b" ns2:_="" ns3:_="">
    <xsd:import namespace="c58f02bd-e0b7-474b-a2bc-9a19f162f3a8"/>
    <xsd:import namespace="b7d00205-0ffb-4bc2-b18e-b800942d8f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f02bd-e0b7-474b-a2bc-9a19f162f3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2c1abb6-7528-48c8-bade-a0efe80568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00205-0ffb-4bc2-b18e-b800942d8f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f941d5-66b0-4dcf-b0f6-17179381c1ce}" ma:internalName="TaxCatchAll" ma:showField="CatchAllData" ma:web="b7d00205-0ffb-4bc2-b18e-b800942d8f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58f02bd-e0b7-474b-a2bc-9a19f162f3a8">
      <Terms xmlns="http://schemas.microsoft.com/office/infopath/2007/PartnerControls"/>
    </lcf76f155ced4ddcb4097134ff3c332f>
    <TaxCatchAll xmlns="b7d00205-0ffb-4bc2-b18e-b800942d8fea" xsi:nil="true"/>
  </documentManagement>
</p:properties>
</file>

<file path=customXml/itemProps1.xml><?xml version="1.0" encoding="utf-8"?>
<ds:datastoreItem xmlns:ds="http://schemas.openxmlformats.org/officeDocument/2006/customXml" ds:itemID="{7C56CE6C-CA5B-444B-ABB9-92DAF9BD09DE}"/>
</file>

<file path=customXml/itemProps2.xml><?xml version="1.0" encoding="utf-8"?>
<ds:datastoreItem xmlns:ds="http://schemas.openxmlformats.org/officeDocument/2006/customXml" ds:itemID="{B14598ED-6C3E-40AC-9596-552BD77D4061}"/>
</file>

<file path=customXml/itemProps3.xml><?xml version="1.0" encoding="utf-8"?>
<ds:datastoreItem xmlns:ds="http://schemas.openxmlformats.org/officeDocument/2006/customXml" ds:itemID="{F41133FE-686A-40F9-9076-E99373ABABE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KW45, 2025</vt:lpstr>
    </vt:vector>
  </TitlesOfParts>
  <Company>RVNA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Xiangwei Chen ALF RPSBE1</dc:creator>
  <cp:lastModifiedBy>Xiangwei Chen ALF RPSBE1</cp:lastModifiedBy>
  <cp:lastPrinted>2025-09-03T13:26:17Z</cp:lastPrinted>
  <dcterms:created xsi:type="dcterms:W3CDTF">2025-09-02T13:26:50Z</dcterms:created>
  <dcterms:modified xsi:type="dcterms:W3CDTF">2025-11-05T13:58:39Z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57171-d5a2-4c27-b720-d0ccc7e87f50_Enabled">
    <vt:lpwstr>true</vt:lpwstr>
  </property>
  <property fmtid="{D5CDD505-2E9C-101B-9397-08002B2CF9AE}" pid="3" name="MSIP_Label_1b557171-d5a2-4c27-b720-d0ccc7e87f50_SetDate">
    <vt:lpwstr>2025-09-02T13:33:29Z</vt:lpwstr>
  </property>
  <property fmtid="{D5CDD505-2E9C-101B-9397-08002B2CF9AE}" pid="4" name="MSIP_Label_1b557171-d5a2-4c27-b720-d0ccc7e87f50_Method">
    <vt:lpwstr>Privileged</vt:lpwstr>
  </property>
  <property fmtid="{D5CDD505-2E9C-101B-9397-08002B2CF9AE}" pid="5" name="MSIP_Label_1b557171-d5a2-4c27-b720-d0ccc7e87f50_Name">
    <vt:lpwstr>RVNA Confidential Sub_2</vt:lpwstr>
  </property>
  <property fmtid="{D5CDD505-2E9C-101B-9397-08002B2CF9AE}" pid="6" name="MSIP_Label_1b557171-d5a2-4c27-b720-d0ccc7e87f50_SiteId">
    <vt:lpwstr>87f9dc52-94b9-4266-8431-8be91e1f699c</vt:lpwstr>
  </property>
  <property fmtid="{D5CDD505-2E9C-101B-9397-08002B2CF9AE}" pid="7" name="MSIP_Label_1b557171-d5a2-4c27-b720-d0ccc7e87f50_ActionId">
    <vt:lpwstr>9560bc8f-fcd9-47ac-b9f2-f7340a6dea54</vt:lpwstr>
  </property>
  <property fmtid="{D5CDD505-2E9C-101B-9397-08002B2CF9AE}" pid="8" name="MSIP_Label_1b557171-d5a2-4c27-b720-d0ccc7e87f50_ContentBits">
    <vt:lpwstr>1</vt:lpwstr>
  </property>
  <property fmtid="{D5CDD505-2E9C-101B-9397-08002B2CF9AE}" pid="9" name="IbpWorkbookKeyString_GUID">
    <vt:lpwstr>00ff1966-7dc7-428e-b0ba-061fb7307892</vt:lpwstr>
  </property>
  <property fmtid="{D5CDD505-2E9C-101B-9397-08002B2CF9AE}" pid="10" name="MediaServiceImageTags">
    <vt:lpwstr/>
  </property>
  <property fmtid="{D5CDD505-2E9C-101B-9397-08002B2CF9AE}" pid="11" name="ContentTypeId">
    <vt:lpwstr>0x010100D2AE94798D0E7D4487CB84FC9A87565D</vt:lpwstr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ComplianceAssetId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</Properties>
</file>