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ssivesafety-my.sharepoint.com/personal/xiangwei_chen_zf-lifetec_com/Documents/Program Purchasing RB/01. Sourcing/Sourcing Alignment Committee/KW46, 12.11.2025/"/>
    </mc:Choice>
  </mc:AlternateContent>
  <xr:revisionPtr revIDLastSave="0" documentId="8_{5BB14CC1-0E3D-4627-AFCA-849738FFF8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W39, 2025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Z2" i="4"/>
  <c r="V2" i="4" l="1"/>
</calcChain>
</file>

<file path=xl/sharedStrings.xml><?xml version="1.0" encoding="utf-8"?>
<sst xmlns="http://schemas.openxmlformats.org/spreadsheetml/2006/main" count="44" uniqueCount="44">
  <si>
    <t>#</t>
  </si>
  <si>
    <t>Region</t>
  </si>
  <si>
    <t>Type</t>
  </si>
  <si>
    <t xml:space="preserve">LT Spend </t>
  </si>
  <si>
    <t>Project/ Product</t>
  </si>
  <si>
    <t>Commodity</t>
  </si>
  <si>
    <t>Presenter</t>
  </si>
  <si>
    <t>Decision Level</t>
  </si>
  <si>
    <t>Peak Year Spend</t>
  </si>
  <si>
    <t>SWAT ID / Bundle ID</t>
  </si>
  <si>
    <t>PN</t>
  </si>
  <si>
    <t>Recommended Supplier (s)</t>
  </si>
  <si>
    <t xml:space="preserve">Sourcing Decision </t>
  </si>
  <si>
    <t>Part Description</t>
  </si>
  <si>
    <t>Notes/Task/ Resp./ Due Date</t>
  </si>
  <si>
    <t>Parent PF Code</t>
  </si>
  <si>
    <t>CQA PC PRICE</t>
  </si>
  <si>
    <t>Rec. Supplier Landed</t>
  </si>
  <si>
    <t>Average Volume</t>
  </si>
  <si>
    <t>LT volume</t>
  </si>
  <si>
    <t>LT saving</t>
  </si>
  <si>
    <t xml:space="preserve">Rec. Supplier Tooling </t>
  </si>
  <si>
    <t>Average Year Saving vs CQA</t>
  </si>
  <si>
    <t>CQA Tooling</t>
  </si>
  <si>
    <t>Tooling Saving vs CQA</t>
  </si>
  <si>
    <t>MI01003</t>
  </si>
  <si>
    <t>Pyro MGG</t>
  </si>
  <si>
    <t>Micro Gas Generator</t>
  </si>
  <si>
    <t>PN R002W793A
AP2 LW MGG</t>
  </si>
  <si>
    <t xml:space="preserve">Daicle Safety Systems </t>
  </si>
  <si>
    <t>Bianca Roman</t>
  </si>
  <si>
    <t>L2</t>
  </si>
  <si>
    <t>871.493,67 EUR</t>
  </si>
  <si>
    <t>2.181.376,08 EUR</t>
  </si>
  <si>
    <t>volume based prices &gt;1M 0,05USD/pcs savings for recommended supplier. EX rate used 8,13 RMB &amp; 1,17 USD for 2026</t>
  </si>
  <si>
    <t>AP</t>
  </si>
  <si>
    <t>LI AUTO X11&amp;W05</t>
  </si>
  <si>
    <t>26,00 RMB
3,29 EUR</t>
  </si>
  <si>
    <t>Comment</t>
  </si>
  <si>
    <t>2,000,000 RMB
253,164.56 EUR</t>
  </si>
  <si>
    <t>New</t>
  </si>
  <si>
    <t>24,42 RMB
3,09 EUR</t>
  </si>
  <si>
    <t xml:space="preserve">1. to check transportation cost from Daciel Thailand to ZJG plant, or to negotiate DAP as incoterm -- CM Bianca
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</si>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</sst>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EUR]"/>
    <numFmt numFmtId="165" formatCode="#,##0\ [$EUR]"/>
    <numFmt numFmtId="166" formatCode="#,##0.0000\ [$EUR]"/>
  </numFmts>
  <fonts count="4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FFFFFF"/>
      <name val="Arial"/>
      <family val="2"/>
    </font>
    <font>
      <sz val="7.5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3E11"/>
        <bgColor indexed="64"/>
      </patternFill>
    </fill>
    <fill>
      <patternFill patternType="solid">
        <fgColor rgb="FFF6CECC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 style="medium">
        <color theme="0"/>
      </left>
      <right style="medium">
        <color rgb="FFFFFFFF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3" borderId="3" xfId="0" quotePrefix="1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164" fontId="1" fillId="3" borderId="3" xfId="0" quotePrefix="1" applyNumberFormat="1" applyFont="1" applyFill="1" applyBorder="1" applyAlignment="1">
      <alignment horizontal="left" vertical="center" wrapText="1" readingOrder="1"/>
    </xf>
    <xf numFmtId="3" fontId="1" fillId="3" borderId="3" xfId="0" quotePrefix="1" applyNumberFormat="1" applyFont="1" applyFill="1" applyBorder="1" applyAlignment="1">
      <alignment horizontal="left" vertical="center" wrapText="1" readingOrder="1"/>
    </xf>
    <xf numFmtId="165" fontId="1" fillId="3" borderId="3" xfId="0" quotePrefix="1" applyNumberFormat="1" applyFont="1" applyFill="1" applyBorder="1" applyAlignment="1">
      <alignment horizontal="left" vertical="center" wrapText="1" readingOrder="1"/>
    </xf>
    <xf numFmtId="0" fontId="2" fillId="4" borderId="1" xfId="0" applyFont="1" applyFill="1" applyBorder="1" applyAlignment="1">
      <alignment horizontal="left" vertical="center" wrapText="1" readingOrder="1"/>
    </xf>
    <xf numFmtId="0" fontId="2" fillId="4" borderId="2" xfId="0" applyFont="1" applyFill="1" applyBorder="1" applyAlignment="1">
      <alignment horizontal="left" vertical="center" wrapText="1" readingOrder="1"/>
    </xf>
    <xf numFmtId="166" fontId="1" fillId="3" borderId="3" xfId="0" quotePrefix="1" applyNumberFormat="1" applyFont="1" applyFill="1" applyBorder="1" applyAlignment="1">
      <alignment horizontal="left" vertical="center" wrapText="1" readingOrder="1"/>
    </xf>
    <xf numFmtId="165" fontId="3" fillId="3" borderId="3" xfId="0" quotePrefix="1" applyNumberFormat="1" applyFont="1" applyFill="1" applyBorder="1" applyAlignment="1">
      <alignment horizontal="left" vertical="center" wrapText="1" readingOrder="1"/>
    </xf>
    <xf numFmtId="1" fontId="1" fillId="3" borderId="3" xfId="0" quotePrefix="1" applyNumberFormat="1" applyFont="1" applyFill="1" applyBorder="1" applyAlignment="1">
      <alignment horizontal="left" vertical="center" wrapText="1" readingOrder="1"/>
    </xf>
    <xf numFmtId="0" fontId="1" fillId="3" borderId="3" xfId="0" quotePrefix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1669-4D19-42D8-86BB-E55FDF20445A}">
  <dimension ref="A1:Z32"/>
  <sheetViews>
    <sheetView tabSelected="1" zoomScale="70" zoomScaleNormal="70" workbookViewId="0">
      <selection activeCell="Q2" sqref="A1:Q2"/>
    </sheetView>
  </sheetViews>
  <sheetFormatPr defaultRowHeight="14.5" x14ac:dyDescent="0.35"/>
  <cols>
    <col min="6" max="6" width="11.08984375" customWidth="1"/>
    <col min="7" max="7" width="13.90625" customWidth="1"/>
    <col min="9" max="9" width="13.81640625" customWidth="1"/>
    <col min="10" max="10" width="14.36328125" customWidth="1"/>
    <col min="11" max="11" width="10.1796875" customWidth="1"/>
    <col min="13" max="13" width="12" customWidth="1"/>
    <col min="14" max="14" width="13.90625" customWidth="1"/>
    <col min="15" max="15" width="25" customWidth="1"/>
    <col min="16" max="16" width="10" bestFit="1" customWidth="1"/>
    <col min="17" max="17" width="32.90625" customWidth="1"/>
    <col min="18" max="18" width="11.08984375" customWidth="1"/>
    <col min="19" max="19" width="11.36328125" customWidth="1"/>
    <col min="20" max="21" width="8.6328125" customWidth="1"/>
    <col min="22" max="22" width="13" customWidth="1"/>
    <col min="23" max="23" width="16" customWidth="1"/>
    <col min="24" max="24" width="13.26953125" customWidth="1"/>
    <col min="25" max="25" width="10.1796875" customWidth="1"/>
    <col min="26" max="26" width="10.54296875" customWidth="1"/>
  </cols>
  <sheetData>
    <row r="1" spans="1:26" s="1" customFormat="1" ht="42.5" customHeight="1" thickBot="1" x14ac:dyDescent="0.4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15</v>
      </c>
      <c r="G1" s="3" t="s">
        <v>9</v>
      </c>
      <c r="H1" s="3" t="s">
        <v>13</v>
      </c>
      <c r="I1" s="3" t="s">
        <v>10</v>
      </c>
      <c r="J1" s="3" t="s">
        <v>11</v>
      </c>
      <c r="K1" s="3" t="s">
        <v>6</v>
      </c>
      <c r="L1" s="3" t="s">
        <v>7</v>
      </c>
      <c r="M1" s="3" t="s">
        <v>8</v>
      </c>
      <c r="N1" s="3" t="s">
        <v>3</v>
      </c>
      <c r="O1" s="3" t="s">
        <v>38</v>
      </c>
      <c r="P1" s="3" t="s">
        <v>12</v>
      </c>
      <c r="Q1" s="3" t="s">
        <v>14</v>
      </c>
      <c r="R1" s="7" t="s">
        <v>16</v>
      </c>
      <c r="S1" s="7" t="s">
        <v>17</v>
      </c>
      <c r="T1" s="8" t="s">
        <v>18</v>
      </c>
      <c r="U1" s="8" t="s">
        <v>19</v>
      </c>
      <c r="V1" s="8" t="s">
        <v>22</v>
      </c>
      <c r="W1" s="8" t="s">
        <v>20</v>
      </c>
      <c r="X1" s="7" t="s">
        <v>23</v>
      </c>
      <c r="Y1" s="7" t="s">
        <v>21</v>
      </c>
      <c r="Z1" s="7" t="s">
        <v>24</v>
      </c>
    </row>
    <row r="2" spans="1:26" s="1" customFormat="1" ht="46.25" customHeight="1" thickBot="1" x14ac:dyDescent="0.4">
      <c r="A2" s="2">
        <v>1</v>
      </c>
      <c r="B2" s="2" t="s">
        <v>35</v>
      </c>
      <c r="C2" s="2" t="s">
        <v>40</v>
      </c>
      <c r="D2" s="2" t="s">
        <v>36</v>
      </c>
      <c r="E2" s="2" t="s">
        <v>26</v>
      </c>
      <c r="F2" s="2" t="s">
        <v>25</v>
      </c>
      <c r="G2" s="11">
        <v>110000030902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10" t="s">
        <v>34</v>
      </c>
      <c r="P2" s="12" t="s">
        <v>43</v>
      </c>
      <c r="Q2" s="2" t="s">
        <v>42</v>
      </c>
      <c r="R2" s="9" t="s">
        <v>37</v>
      </c>
      <c r="S2" s="4" t="s">
        <v>41</v>
      </c>
      <c r="T2" s="5">
        <v>220933</v>
      </c>
      <c r="U2" s="5">
        <v>662800</v>
      </c>
      <c r="V2" s="6">
        <f>220933*(3.09-3.29)</f>
        <v>-44186.600000000042</v>
      </c>
      <c r="W2" s="6">
        <f>U2*(3.09-3.29)</f>
        <v>-132560.00000000012</v>
      </c>
      <c r="X2" s="6" t="s">
        <v>39</v>
      </c>
      <c r="Y2" s="6">
        <v>0</v>
      </c>
      <c r="Z2" s="6">
        <f>0-253164.56</f>
        <v>-253164.56</v>
      </c>
    </row>
    <row r="3" spans="1:26" s="1" customFormat="1" ht="40" customHeight="1" thickBot="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s="1" customFormat="1" ht="40" customHeight="1" thickBot="1" x14ac:dyDescent="0.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" customFormat="1" ht="40" customHeight="1" thickBot="1" x14ac:dyDescent="0.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s="1" customFormat="1" ht="40" customHeight="1" thickBot="1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1" customFormat="1" ht="42.5" customHeight="1" x14ac:dyDescent="0.35"/>
    <row r="8" spans="1:26" s="1" customFormat="1" ht="42.5" customHeight="1" x14ac:dyDescent="0.35"/>
    <row r="9" spans="1:26" s="1" customFormat="1" ht="42.5" customHeight="1" x14ac:dyDescent="0.35"/>
    <row r="10" spans="1:26" s="1" customFormat="1" ht="42.5" customHeight="1" x14ac:dyDescent="0.35"/>
    <row r="11" spans="1:26" s="1" customFormat="1" ht="42.5" customHeight="1" x14ac:dyDescent="0.35"/>
    <row r="12" spans="1:26" s="1" customFormat="1" ht="42.5" customHeight="1" x14ac:dyDescent="0.35"/>
    <row r="13" spans="1:26" s="1" customFormat="1" ht="42.5" customHeight="1" x14ac:dyDescent="0.35"/>
    <row r="14" spans="1:26" s="1" customFormat="1" ht="42.5" customHeight="1" x14ac:dyDescent="0.35"/>
    <row r="15" spans="1:26" s="1" customFormat="1" ht="42.5" customHeight="1" x14ac:dyDescent="0.35"/>
    <row r="16" spans="1:26" s="1" customFormat="1" ht="42.5" customHeight="1" x14ac:dyDescent="0.35"/>
    <row r="17" s="1" customFormat="1" ht="42.5" customHeight="1" x14ac:dyDescent="0.35"/>
    <row r="18" s="1" customFormat="1" ht="42.5" customHeight="1" x14ac:dyDescent="0.35"/>
    <row r="19" s="1" customFormat="1" ht="42.5" customHeight="1" x14ac:dyDescent="0.35"/>
    <row r="20" s="1" customFormat="1" ht="42.5" customHeight="1" x14ac:dyDescent="0.35"/>
    <row r="21" s="1" customFormat="1" ht="42.5" customHeight="1" x14ac:dyDescent="0.35"/>
    <row r="22" s="1" customFormat="1" ht="42.5" customHeight="1" x14ac:dyDescent="0.35"/>
    <row r="23" s="1" customFormat="1" ht="42.5" customHeight="1" x14ac:dyDescent="0.35"/>
    <row r="24" s="1" customFormat="1" ht="42.5" customHeight="1" x14ac:dyDescent="0.35"/>
    <row r="25" s="1" customFormat="1" ht="42.5" customHeight="1" x14ac:dyDescent="0.35"/>
    <row r="26" s="1" customFormat="1" ht="42.5" customHeight="1" x14ac:dyDescent="0.35"/>
    <row r="27" s="1" customFormat="1" ht="42.5" customHeight="1" x14ac:dyDescent="0.35"/>
    <row r="28" s="1" customFormat="1" ht="42.5" customHeight="1" x14ac:dyDescent="0.35"/>
    <row r="29" s="1" customFormat="1" ht="42.5" customHeight="1" x14ac:dyDescent="0.35"/>
    <row r="30" s="1" customFormat="1" ht="42.5" customHeight="1" x14ac:dyDescent="0.35"/>
    <row r="31" s="1" customFormat="1" ht="42.5" customHeight="1" x14ac:dyDescent="0.35"/>
    <row r="32" s="1" customFormat="1" ht="42.5" customHeight="1" x14ac:dyDescent="0.35"/>
  </sheetData>
  <conditionalFormatting sqref="V1:V1048576">
    <cfRule type="cellIs" dxfId="2" priority="3" operator="lessThan">
      <formula>0</formula>
    </cfRule>
  </conditionalFormatting>
  <conditionalFormatting sqref="Z1 Z3:Z1048576">
    <cfRule type="cellIs" dxfId="1" priority="2" operator="lessThan">
      <formula>0</formula>
    </cfRule>
  </conditionalFormatting>
  <conditionalFormatting sqref="W2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2AE94798D0E7D4487CB84FC9A87565D" ma:contentTypeVersion="10" ma:contentTypeDescription="Ein neues Dokument erstellen." ma:contentTypeScope="" ma:versionID="489a9c820ca95f30f281d2d870c3f154">
  <xsd:schema xmlns:xsd="http://www.w3.org/2001/XMLSchema" xmlns:xs="http://www.w3.org/2001/XMLSchema" xmlns:p="http://schemas.microsoft.com/office/2006/metadata/properties" xmlns:ns2="c58f02bd-e0b7-474b-a2bc-9a19f162f3a8" xmlns:ns3="b7d00205-0ffb-4bc2-b18e-b800942d8fea" targetNamespace="http://schemas.microsoft.com/office/2006/metadata/properties" ma:root="true" ma:fieldsID="8df1e44b885ba372004f019dce495b7b" ns2:_="" ns3:_="">
    <xsd:import namespace="c58f02bd-e0b7-474b-a2bc-9a19f162f3a8"/>
    <xsd:import namespace="b7d00205-0ffb-4bc2-b18e-b800942d8f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f02bd-e0b7-474b-a2bc-9a19f162f3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2c1abb6-7528-48c8-bade-a0efe80568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d00205-0ffb-4bc2-b18e-b800942d8fe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0f941d5-66b0-4dcf-b0f6-17179381c1ce}" ma:internalName="TaxCatchAll" ma:showField="CatchAllData" ma:web="b7d00205-0ffb-4bc2-b18e-b800942d8f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58f02bd-e0b7-474b-a2bc-9a19f162f3a8">
      <Terms xmlns="http://schemas.microsoft.com/office/infopath/2007/PartnerControls"/>
    </lcf76f155ced4ddcb4097134ff3c332f>
    <TaxCatchAll xmlns="b7d00205-0ffb-4bc2-b18e-b800942d8fea" xsi:nil="true"/>
  </documentManagement>
</p:properties>
</file>

<file path=customXml/itemProps1.xml><?xml version="1.0" encoding="utf-8"?>
<ds:datastoreItem xmlns:ds="http://schemas.openxmlformats.org/officeDocument/2006/customXml" ds:itemID="{39BAA7AC-B4E0-4721-8730-9FE273095AE6}"/>
</file>

<file path=customXml/itemProps2.xml><?xml version="1.0" encoding="utf-8"?>
<ds:datastoreItem xmlns:ds="http://schemas.openxmlformats.org/officeDocument/2006/customXml" ds:itemID="{46C46CDB-40AA-4A3E-8565-EBE90106E4C8}"/>
</file>

<file path=customXml/itemProps3.xml><?xml version="1.0" encoding="utf-8"?>
<ds:datastoreItem xmlns:ds="http://schemas.openxmlformats.org/officeDocument/2006/customXml" ds:itemID="{F2A10D92-AB4D-41AC-AACE-ACAB51BD82B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KW39, 2025</vt:lpstr>
    </vt:vector>
  </TitlesOfParts>
  <Company>RVNA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Xiangwei Chen ALF RPSBE1</dc:creator>
  <cp:lastModifiedBy>Xiangwei Chen ALF RPSBE1</cp:lastModifiedBy>
  <cp:lastPrinted>2025-09-03T13:26:17Z</cp:lastPrinted>
  <dcterms:created xsi:type="dcterms:W3CDTF">2025-09-02T13:26:50Z</dcterms:created>
  <dcterms:modified xsi:type="dcterms:W3CDTF">2025-11-12T12:59:26Z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557171-d5a2-4c27-b720-d0ccc7e87f50_Enabled">
    <vt:lpwstr>true</vt:lpwstr>
  </property>
  <property fmtid="{D5CDD505-2E9C-101B-9397-08002B2CF9AE}" pid="3" name="MSIP_Label_1b557171-d5a2-4c27-b720-d0ccc7e87f50_SetDate">
    <vt:lpwstr>2025-09-02T13:33:29Z</vt:lpwstr>
  </property>
  <property fmtid="{D5CDD505-2E9C-101B-9397-08002B2CF9AE}" pid="4" name="MSIP_Label_1b557171-d5a2-4c27-b720-d0ccc7e87f50_Method">
    <vt:lpwstr>Privileged</vt:lpwstr>
  </property>
  <property fmtid="{D5CDD505-2E9C-101B-9397-08002B2CF9AE}" pid="5" name="MSIP_Label_1b557171-d5a2-4c27-b720-d0ccc7e87f50_Name">
    <vt:lpwstr>RVNA Confidential Sub_2</vt:lpwstr>
  </property>
  <property fmtid="{D5CDD505-2E9C-101B-9397-08002B2CF9AE}" pid="6" name="MSIP_Label_1b557171-d5a2-4c27-b720-d0ccc7e87f50_SiteId">
    <vt:lpwstr>87f9dc52-94b9-4266-8431-8be91e1f699c</vt:lpwstr>
  </property>
  <property fmtid="{D5CDD505-2E9C-101B-9397-08002B2CF9AE}" pid="7" name="MSIP_Label_1b557171-d5a2-4c27-b720-d0ccc7e87f50_ActionId">
    <vt:lpwstr>9560bc8f-fcd9-47ac-b9f2-f7340a6dea54</vt:lpwstr>
  </property>
  <property fmtid="{D5CDD505-2E9C-101B-9397-08002B2CF9AE}" pid="8" name="MSIP_Label_1b557171-d5a2-4c27-b720-d0ccc7e87f50_ContentBits">
    <vt:lpwstr>1</vt:lpwstr>
  </property>
  <property fmtid="{D5CDD505-2E9C-101B-9397-08002B2CF9AE}" pid="9" name="MediaServiceImageTags">
    <vt:lpwstr/>
  </property>
  <property fmtid="{D5CDD505-2E9C-101B-9397-08002B2CF9AE}" pid="10" name="ContentTypeId">
    <vt:lpwstr>0x010100D2AE94798D0E7D4487CB84FC9A87565D</vt:lpwstr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</Properties>
</file>