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47, 19.11.2025/"/>
    </mc:Choice>
  </mc:AlternateContent>
  <xr:revisionPtr revIDLastSave="24" documentId="8_{F1E4F0FF-4507-48EB-A857-E3158029E560}" xr6:coauthVersionLast="47" xr6:coauthVersionMax="47" xr10:uidLastSave="{268A794B-1D6C-44A4-B3E3-42F434613360}"/>
  <bookViews>
    <workbookView minimized="1" xWindow="39705" yWindow="3735" windowWidth="14625" windowHeight="7425" xr2:uid="{00000000-000D-0000-FFFF-FFFF00000000}"/>
  </bookViews>
  <sheets>
    <sheet name="KW47, 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V3" i="4"/>
  <c r="W2" i="4"/>
  <c r="V2" i="4"/>
</calcChain>
</file>

<file path=xl/sharedStrings.xml><?xml version="1.0" encoding="utf-8"?>
<sst xmlns="http://schemas.openxmlformats.org/spreadsheetml/2006/main" count="72" uniqueCount="64">
  <si>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</si>
  <si>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</si>
  <si>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</si>
  <si>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</si>
  <si>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</si>
  <si>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</si>
  <si>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</si>
  <si>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</si>
  <si>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</si>
  <si>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</si>
  <si>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</si>
  <si>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</si>
  <si>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</si>
  <si>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</si>
  <si>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</si>
  <si>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</si>
  <si>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</si>
  <si>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</si>
  <si>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</si>
  <si>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</si>
  <si>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</si>
  <si>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</si>
  <si>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</si>
  <si>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</si>
  <si>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</si>
  <si>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C/O</t>
  </si>
  <si>
    <t>L2</t>
  </si>
  <si>
    <t>Comment</t>
  </si>
  <si>
    <t>EU</t>
  </si>
  <si>
    <t>MI03006</t>
  </si>
  <si>
    <t>Webbing</t>
  </si>
  <si>
    <t>A021H857A</t>
  </si>
  <si>
    <t>Oppermann Webbing (Shanghai) Co., Ltd</t>
  </si>
  <si>
    <t>Matei Acsinte</t>
  </si>
  <si>
    <t>VOLVO V326</t>
  </si>
  <si>
    <t>Textiles</t>
  </si>
  <si>
    <t>34039773A</t>
  </si>
  <si>
    <t>Oppermann Automotive Webbing GmbH</t>
  </si>
  <si>
    <t>0,2056€/m</t>
  </si>
  <si>
    <t>0,2200€/m</t>
  </si>
  <si>
    <r>
      <t>0,2900</t>
    </r>
    <r>
      <rPr>
        <sz val="8"/>
        <color rgb="FF000000"/>
        <rFont val="Aptos Narrow"/>
        <family val="2"/>
      </rPr>
      <t>€</t>
    </r>
    <r>
      <rPr>
        <sz val="8"/>
        <color rgb="FF000000"/>
        <rFont val="Arial"/>
        <family val="2"/>
      </rPr>
      <t>/m</t>
    </r>
  </si>
  <si>
    <t>0,2638€/m</t>
  </si>
  <si>
    <t>c/o award to Oppermann-strategic supplier. Localization approach to be checked for potential implementation as post sourcing action.</t>
  </si>
  <si>
    <t>c/o award to Oppermann Einbeck (strategic supplier and in the process of signing LTA 2026+)</t>
  </si>
  <si>
    <t>AP</t>
  </si>
  <si>
    <t>GCS</t>
  </si>
  <si>
    <t>Buckle Head</t>
  </si>
  <si>
    <t>Yajun Zhao</t>
  </si>
  <si>
    <t>FF01012</t>
  </si>
  <si>
    <t>110000032915</t>
  </si>
  <si>
    <t>Tube Rivet</t>
  </si>
  <si>
    <t>33017556A</t>
  </si>
  <si>
    <t>Yuhuan Zhenxuan Machinery Co.,Ltd.</t>
  </si>
  <si>
    <t>Ana Valeria Quintana</t>
  </si>
  <si>
    <t>Level 4</t>
  </si>
  <si>
    <t>177,09 KEUR</t>
  </si>
  <si>
    <t>615,65 KEUR</t>
  </si>
  <si>
    <t>Yuhuan Zhenxuan TR with conditional feasible due to alternative material H65 acc. GB/T 5231-H65 &amp; GB/T 1527-H65 Status O82</t>
  </si>
  <si>
    <t>Ford T6 as lead project
Plant line tail run by Nov.2025
Core by Feb.2026.
Plan SOP by May.2026.</t>
  </si>
  <si>
    <r>
      <rPr>
        <b/>
        <sz val="8"/>
        <color rgb="FFFF0000"/>
        <rFont val="Arial"/>
        <family val="2"/>
      </rPr>
      <t>Approved</t>
    </r>
    <r>
      <rPr>
        <sz val="8"/>
        <color rgb="FF000000"/>
        <rFont val="Arial"/>
        <family val="2"/>
      </rPr>
      <t xml:space="preserve"> offline, 
only for record</t>
    </r>
  </si>
  <si>
    <t>Approved</t>
  </si>
  <si>
    <t>To be double checked</t>
  </si>
  <si>
    <t>1. to include "Make price" in SDS, to include "make vs buy" decision in presentation --CM</t>
  </si>
  <si>
    <t>1. to double check transportation cost and duty calculated from Oppermann Shanghai to Stara. --SCM Anna S., PP Summer C.
2. to check if Oppermann Germany can be ready for SOP, as local solution for dawn color. --CM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</si>
</sst>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"/>
    <numFmt numFmtId="165" formatCode="#,##0\ [$EUR]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ptos Narrow"/>
      <family val="2"/>
    </font>
    <font>
      <sz val="7.5"/>
      <color rgb="FF000000"/>
      <name val="Arial"/>
      <family val="2"/>
    </font>
    <font>
      <b/>
      <sz val="8"/>
      <color rgb="FFFF0000"/>
      <name val="Arial"/>
      <family val="2"/>
    </font>
    <font>
      <b/>
      <sz val="8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1" fontId="1" fillId="3" borderId="3" xfId="0" quotePrefix="1" applyNumberFormat="1" applyFont="1" applyFill="1" applyBorder="1" applyAlignment="1">
      <alignment horizontal="left"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165" fontId="4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0" fontId="6" fillId="3" borderId="3" xfId="0" quotePrefix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1"/>
  <sheetViews>
    <sheetView tabSelected="1" zoomScale="130" zoomScaleNormal="130" workbookViewId="0">
      <selection activeCell="G2" sqref="G2"/>
    </sheetView>
  </sheetViews>
  <sheetFormatPr defaultRowHeight="14.5" x14ac:dyDescent="0.35"/>
  <cols>
    <col min="6" max="6" width="11.1796875" customWidth="1"/>
    <col min="7" max="7" width="13" bestFit="1" customWidth="1"/>
    <col min="9" max="9" width="13.81640625" customWidth="1"/>
    <col min="10" max="10" width="14.453125" customWidth="1"/>
    <col min="11" max="11" width="10.1796875" customWidth="1"/>
    <col min="13" max="13" width="12" customWidth="1"/>
    <col min="14" max="14" width="13.81640625" customWidth="1"/>
    <col min="15" max="15" width="29.90625" customWidth="1"/>
    <col min="16" max="16" width="14" customWidth="1"/>
    <col min="17" max="17" width="25.54296875" customWidth="1"/>
    <col min="18" max="18" width="11.1796875" customWidth="1"/>
    <col min="19" max="19" width="11.453125" customWidth="1"/>
    <col min="20" max="21" width="8.54296875" customWidth="1"/>
    <col min="22" max="22" width="13" customWidth="1"/>
    <col min="23" max="23" width="16" customWidth="1"/>
    <col min="24" max="24" width="13.26953125" customWidth="1"/>
    <col min="25" max="25" width="10.1796875" customWidth="1"/>
    <col min="26" max="26" width="10.54296875" customWidth="1"/>
  </cols>
  <sheetData>
    <row r="1" spans="1:26" s="1" customFormat="1" ht="42.65" customHeight="1" thickBot="1" x14ac:dyDescent="0.4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15</v>
      </c>
      <c r="G1" s="3" t="s">
        <v>9</v>
      </c>
      <c r="H1" s="3" t="s">
        <v>13</v>
      </c>
      <c r="I1" s="3" t="s">
        <v>10</v>
      </c>
      <c r="J1" s="3" t="s">
        <v>11</v>
      </c>
      <c r="K1" s="3" t="s">
        <v>6</v>
      </c>
      <c r="L1" s="3" t="s">
        <v>7</v>
      </c>
      <c r="M1" s="3" t="s">
        <v>8</v>
      </c>
      <c r="N1" s="3" t="s">
        <v>3</v>
      </c>
      <c r="O1" s="3" t="s">
        <v>27</v>
      </c>
      <c r="P1" s="3" t="s">
        <v>12</v>
      </c>
      <c r="Q1" s="3" t="s">
        <v>14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22</v>
      </c>
      <c r="W1" s="6" t="s">
        <v>20</v>
      </c>
      <c r="X1" s="5" t="s">
        <v>23</v>
      </c>
      <c r="Y1" s="5" t="s">
        <v>21</v>
      </c>
      <c r="Z1" s="5" t="s">
        <v>24</v>
      </c>
    </row>
    <row r="2" spans="1:26" s="1" customFormat="1" ht="40" customHeight="1" thickBot="1" x14ac:dyDescent="0.4">
      <c r="A2" s="2">
        <v>1</v>
      </c>
      <c r="B2" s="2" t="s">
        <v>28</v>
      </c>
      <c r="C2" s="2" t="s">
        <v>25</v>
      </c>
      <c r="D2" s="2" t="s">
        <v>34</v>
      </c>
      <c r="E2" s="2" t="s">
        <v>35</v>
      </c>
      <c r="F2" s="2" t="s">
        <v>29</v>
      </c>
      <c r="G2" s="7">
        <v>110000032505</v>
      </c>
      <c r="H2" s="2" t="s">
        <v>30</v>
      </c>
      <c r="I2" s="2" t="s">
        <v>36</v>
      </c>
      <c r="J2" s="2" t="s">
        <v>37</v>
      </c>
      <c r="K2" s="2" t="s">
        <v>33</v>
      </c>
      <c r="L2" s="2" t="s">
        <v>26</v>
      </c>
      <c r="M2" s="8">
        <v>519275.9</v>
      </c>
      <c r="N2" s="8">
        <v>3419764.54</v>
      </c>
      <c r="O2" s="2" t="s">
        <v>43</v>
      </c>
      <c r="P2" s="11" t="s">
        <v>60</v>
      </c>
      <c r="Q2" s="2" t="s">
        <v>62</v>
      </c>
      <c r="R2" s="2" t="s">
        <v>39</v>
      </c>
      <c r="S2" s="2" t="s">
        <v>38</v>
      </c>
      <c r="T2" s="4">
        <v>2079833</v>
      </c>
      <c r="U2" s="4">
        <v>16633069</v>
      </c>
      <c r="V2" s="8">
        <f>(0.2056-0.22)*T2</f>
        <v>-29949.595199999992</v>
      </c>
      <c r="W2" s="8">
        <f>(0.2056-0.22)*U2</f>
        <v>-239516.19359999994</v>
      </c>
      <c r="X2" s="2">
        <v>0</v>
      </c>
      <c r="Y2" s="2">
        <v>0</v>
      </c>
      <c r="Z2" s="2">
        <v>0</v>
      </c>
    </row>
    <row r="3" spans="1:26" s="1" customFormat="1" ht="72.5" customHeight="1" thickBot="1" x14ac:dyDescent="0.4">
      <c r="A3" s="2">
        <v>2</v>
      </c>
      <c r="B3" s="2" t="s">
        <v>28</v>
      </c>
      <c r="C3" s="2" t="s">
        <v>25</v>
      </c>
      <c r="D3" s="2" t="s">
        <v>34</v>
      </c>
      <c r="E3" s="2" t="s">
        <v>35</v>
      </c>
      <c r="F3" s="2" t="s">
        <v>29</v>
      </c>
      <c r="G3" s="7">
        <v>110000032595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26</v>
      </c>
      <c r="M3" s="8">
        <v>222089.79</v>
      </c>
      <c r="N3" s="8">
        <v>1462604.01</v>
      </c>
      <c r="O3" s="2" t="s">
        <v>42</v>
      </c>
      <c r="P3" s="12" t="s">
        <v>61</v>
      </c>
      <c r="Q3" s="2" t="s">
        <v>63</v>
      </c>
      <c r="R3" s="2" t="s">
        <v>40</v>
      </c>
      <c r="S3" s="2" t="s">
        <v>41</v>
      </c>
      <c r="T3" s="4">
        <v>693046</v>
      </c>
      <c r="U3" s="4">
        <v>5544367</v>
      </c>
      <c r="V3" s="8">
        <f>(0.263-0.29)*T3</f>
        <v>-18712.241999999977</v>
      </c>
      <c r="W3" s="8">
        <f>(0.2638-0.29)*U3</f>
        <v>-145262.4154</v>
      </c>
      <c r="X3" s="2">
        <v>0</v>
      </c>
      <c r="Y3" s="2">
        <v>0</v>
      </c>
      <c r="Z3" s="2">
        <v>0</v>
      </c>
    </row>
    <row r="4" spans="1:26" s="1" customFormat="1" ht="46.5" customHeight="1" thickBot="1" x14ac:dyDescent="0.4">
      <c r="A4" s="2">
        <v>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7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9" t="s">
        <v>57</v>
      </c>
      <c r="P4" s="10" t="s">
        <v>59</v>
      </c>
      <c r="Q4" s="2" t="s">
        <v>58</v>
      </c>
      <c r="R4" s="2"/>
      <c r="S4" s="2"/>
      <c r="T4" s="2"/>
      <c r="U4" s="2"/>
      <c r="V4" s="2"/>
      <c r="W4" s="2"/>
      <c r="X4" s="2"/>
      <c r="Y4" s="2"/>
      <c r="Z4" s="2"/>
    </row>
    <row r="5" spans="1:26" s="1" customFormat="1" ht="40" customHeight="1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1" customFormat="1" ht="42.65" customHeight="1" x14ac:dyDescent="0.35"/>
    <row r="7" spans="1:26" s="1" customFormat="1" ht="42.65" customHeight="1" x14ac:dyDescent="0.35"/>
    <row r="8" spans="1:26" s="1" customFormat="1" ht="42.65" customHeight="1" x14ac:dyDescent="0.35"/>
    <row r="9" spans="1:26" s="1" customFormat="1" ht="42.65" customHeight="1" x14ac:dyDescent="0.35"/>
    <row r="10" spans="1:26" s="1" customFormat="1" ht="42.65" customHeight="1" x14ac:dyDescent="0.35"/>
    <row r="11" spans="1:26" s="1" customFormat="1" ht="42.65" customHeight="1" x14ac:dyDescent="0.35"/>
    <row r="12" spans="1:26" s="1" customFormat="1" ht="42.65" customHeight="1" x14ac:dyDescent="0.35"/>
    <row r="13" spans="1:26" s="1" customFormat="1" ht="42.65" customHeight="1" x14ac:dyDescent="0.35"/>
    <row r="14" spans="1:26" s="1" customFormat="1" ht="42.65" customHeight="1" x14ac:dyDescent="0.35"/>
    <row r="15" spans="1:26" s="1" customFormat="1" ht="42.65" customHeight="1" x14ac:dyDescent="0.35"/>
    <row r="16" spans="1:26" s="1" customFormat="1" ht="42.65" customHeight="1" x14ac:dyDescent="0.35"/>
    <row r="17" s="1" customFormat="1" ht="42.65" customHeight="1" x14ac:dyDescent="0.35"/>
    <row r="18" s="1" customFormat="1" ht="42.65" customHeight="1" x14ac:dyDescent="0.35"/>
    <row r="19" s="1" customFormat="1" ht="42.65" customHeight="1" x14ac:dyDescent="0.35"/>
    <row r="20" s="1" customFormat="1" ht="42.65" customHeight="1" x14ac:dyDescent="0.35"/>
    <row r="21" s="1" customFormat="1" ht="42.65" customHeight="1" x14ac:dyDescent="0.35"/>
    <row r="22" s="1" customFormat="1" ht="42.65" customHeight="1" x14ac:dyDescent="0.35"/>
    <row r="23" s="1" customFormat="1" ht="42.65" customHeight="1" x14ac:dyDescent="0.35"/>
    <row r="24" s="1" customFormat="1" ht="42.65" customHeight="1" x14ac:dyDescent="0.35"/>
    <row r="25" s="1" customFormat="1" ht="42.65" customHeight="1" x14ac:dyDescent="0.35"/>
    <row r="26" s="1" customFormat="1" ht="42.65" customHeight="1" x14ac:dyDescent="0.35"/>
    <row r="27" s="1" customFormat="1" ht="42.65" customHeight="1" x14ac:dyDescent="0.35"/>
    <row r="28" s="1" customFormat="1" ht="42.65" customHeight="1" x14ac:dyDescent="0.35"/>
    <row r="29" s="1" customFormat="1" ht="42.65" customHeight="1" x14ac:dyDescent="0.35"/>
    <row r="30" s="1" customFormat="1" ht="42.65" customHeight="1" x14ac:dyDescent="0.35"/>
    <row r="31" s="1" customFormat="1" ht="42.65" customHeight="1" x14ac:dyDescent="0.35"/>
  </sheetData>
  <conditionalFormatting sqref="V2:W3 V1:V1048576 Z1:Z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489a9c820ca95f30f281d2d870c3f154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df1e44b885ba372004f019dce495b7b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f02bd-e0b7-474b-a2bc-9a19f162f3a8">
      <Terms xmlns="http://schemas.microsoft.com/office/infopath/2007/PartnerControls"/>
    </lcf76f155ced4ddcb4097134ff3c332f>
    <TaxCatchAll xmlns="b7d00205-0ffb-4bc2-b18e-b800942d8fea" xsi:nil="true"/>
  </documentManagement>
</p:properties>
</file>

<file path=customXml/itemProps1.xml><?xml version="1.0" encoding="utf-8"?>
<ds:datastoreItem xmlns:ds="http://schemas.openxmlformats.org/officeDocument/2006/customXml" ds:itemID="{CB5858EE-6D6B-463B-A65C-276178290D3A}"/>
</file>

<file path=customXml/itemProps2.xml><?xml version="1.0" encoding="utf-8"?>
<ds:datastoreItem xmlns:ds="http://schemas.openxmlformats.org/officeDocument/2006/customXml" ds:itemID="{74BE9DE0-B2FA-4E7A-BC4B-52E30C979E30}"/>
</file>

<file path=customXml/itemProps3.xml><?xml version="1.0" encoding="utf-8"?>
<ds:datastoreItem xmlns:ds="http://schemas.openxmlformats.org/officeDocument/2006/customXml" ds:itemID="{B2FB4B51-A3BA-41D2-8207-88429D1883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KW47, 2025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2025-11-26T16:02:49Z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MediaServiceImageTags">
    <vt:lpwstr/>
  </property>
  <property fmtid="{D5CDD505-2E9C-101B-9397-08002B2CF9AE}" pid="11" name="ContentTypeId">
    <vt:lpwstr>0x010100D2AE94798D0E7D4487CB84FC9A87565D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