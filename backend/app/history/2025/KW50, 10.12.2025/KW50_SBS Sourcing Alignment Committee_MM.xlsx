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ustomProperty1.bin" ContentType="application/vnd.openxmlformats-officedocument.spreadsheetml.customProperty"/>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passivesafety-my.sharepoint.com/personal/xiangwei_chen_zf-lifetec_com/Documents/Program Purchasing RB/01. Sourcing/Sourcing Alignment Committee/KW50, 10.12.2025/"/>
    </mc:Choice>
  </mc:AlternateContent>
  <xr:revisionPtr revIDLastSave="38" documentId="8_{1174E61A-766B-47E6-A065-3CF864A46BB5}" xr6:coauthVersionLast="47" xr6:coauthVersionMax="47" xr10:uidLastSave="{39AF7C73-520A-4458-AF2F-3FF8F3DA6413}"/>
  <bookViews>
    <workbookView xWindow="-108" yWindow="-108" windowWidth="23256" windowHeight="12456" xr2:uid="{00000000-000D-0000-FFFF-FFFF00000000}"/>
  </bookViews>
  <sheets>
    <sheet name="KW50, 2025" sheetId="4" r:id="rId1"/>
    <sheet name="Scorecard" sheetId="5" r:id="rId2"/>
    <sheet name="BPP" sheetId="6"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6" l="1"/>
  <c r="Z4" i="4"/>
  <c r="V4" i="4"/>
  <c r="W4" i="4"/>
  <c r="W3" i="4"/>
  <c r="V3" i="4"/>
  <c r="Z3" i="4"/>
  <c r="W2" i="4"/>
  <c r="V2" i="4"/>
  <c r="Z2" i="4"/>
</calcChain>
</file>

<file path=xl/sharedStrings.xml><?xml version="1.0" encoding="utf-8"?>
<sst xmlns="http://schemas.openxmlformats.org/spreadsheetml/2006/main" count="75" uniqueCount="71">
  <si>
    <t>#</t>
  </si>
  <si>
    <t>Region</t>
  </si>
  <si>
    <t>Type</t>
  </si>
  <si>
    <t xml:space="preserve">LT Spend </t>
  </si>
  <si>
    <t>Project/ Product</t>
  </si>
  <si>
    <t>Commodity</t>
  </si>
  <si>
    <t>Presenter</t>
  </si>
  <si>
    <t>Decision Level</t>
  </si>
  <si>
    <t>Peak Year Spend</t>
  </si>
  <si>
    <t>SWAT ID / Bundle ID</t>
  </si>
  <si>
    <t>PN</t>
  </si>
  <si>
    <t>Recommended Supplier (s)</t>
  </si>
  <si>
    <t xml:space="preserve">Sourcing Decision </t>
  </si>
  <si>
    <t>Part Description</t>
  </si>
  <si>
    <t>Notes/Task/ Resp./ Due Date</t>
  </si>
  <si>
    <t>Parent PF Code</t>
  </si>
  <si>
    <t>CQA PC PRICE</t>
  </si>
  <si>
    <t>Rec. Supplier Landed</t>
  </si>
  <si>
    <t>Average Volume</t>
  </si>
  <si>
    <t>LT volume</t>
  </si>
  <si>
    <t>LT saving</t>
  </si>
  <si>
    <t xml:space="preserve">Rec. Supplier Tooling </t>
  </si>
  <si>
    <t>Average Year Saving vs CQA</t>
  </si>
  <si>
    <t>CQA Tooling</t>
  </si>
  <si>
    <t>Tooling Saving vs CQA</t>
  </si>
  <si>
    <t>Comment</t>
  </si>
  <si>
    <t>AP</t>
  </si>
  <si>
    <t>New</t>
  </si>
  <si>
    <t>EL</t>
  </si>
  <si>
    <t>B/2025/00304
110000238204</t>
  </si>
  <si>
    <t>EL02002
ECU Build to Spec</t>
  </si>
  <si>
    <t>JAC X2411</t>
  </si>
  <si>
    <t>ECU ACTIVE-CONTROLLED-RETRACTOR</t>
  </si>
  <si>
    <t>72,03 RMB/pc
9,12 Euro/pc</t>
  </si>
  <si>
    <t>67,52 RMB/pc
8,55 Euro/pc</t>
  </si>
  <si>
    <t>DIAS Automotive Electronic Systems</t>
  </si>
  <si>
    <t>Melisa Bouzo</t>
  </si>
  <si>
    <t>L2</t>
  </si>
  <si>
    <t>R002H159A</t>
  </si>
  <si>
    <t>9.6 Mio RMB
1.2 Mio Euro</t>
  </si>
  <si>
    <t>55 Mio RMB
6,95 Mio Euro</t>
  </si>
  <si>
    <t>R003D871A</t>
  </si>
  <si>
    <t>B/2025/00304
110000032038</t>
  </si>
  <si>
    <t>20,3 Mio RMB
2,6 Mio Euro</t>
  </si>
  <si>
    <t>4,4 Mio RMB
552K Euro</t>
  </si>
  <si>
    <t>72,00 RMB/pc
9,11 Euro/pc</t>
  </si>
  <si>
    <t>69,52 RMB/pc
8,8 Euro/pc</t>
  </si>
  <si>
    <t>195,600 RMB
 24666 Euro</t>
  </si>
  <si>
    <t>1,150,400 RMB
145,620 Euro</t>
  </si>
  <si>
    <t>NA</t>
  </si>
  <si>
    <t>CARRY OVER</t>
  </si>
  <si>
    <t>TUBES</t>
  </si>
  <si>
    <t>SC02002</t>
  </si>
  <si>
    <t>TUBE, RETRACTOR PRETENSION</t>
  </si>
  <si>
    <t>A028R629A</t>
  </si>
  <si>
    <t>Violeta Beltran del Rio</t>
  </si>
  <si>
    <t>Changan E518/F61</t>
  </si>
  <si>
    <t>1,1 M USD
1,0 Mio Euro</t>
  </si>
  <si>
    <t>7,7 M USD
7.0 M Euro</t>
  </si>
  <si>
    <t>0,8459 USD/pc
0,769 Euro/pc</t>
  </si>
  <si>
    <t>0,80488 USD/pc
0,73171 Euro/pc</t>
  </si>
  <si>
    <t>109717 USD
99743 Euro</t>
  </si>
  <si>
    <t>Tianjin Jinrong</t>
  </si>
  <si>
    <t>SPR6  NCAR,R2, T1 SUV, T2 SUV</t>
  </si>
  <si>
    <t>1. DIAS</t>
  </si>
  <si>
    <t>2. Jinrong</t>
  </si>
  <si>
    <t>Approved</t>
  </si>
  <si>
    <t>supplier full responsible for parts build to spec</t>
  </si>
  <si>
    <t>1. Tool cost above CQA. To double check with Jinrong for the tool cost, 2nd tool should be cheaper than 1st tool. -- CM Violeta
2. To share the 3 different Jinrong offer scenarios with Rivian and BMW sales, to double check about our USMCA commitment with customer, to further decide the final option based on USMCA needes. -- PP Mario
3. To validate all RMs. --  Product Mgr T. Rossman to follow up with ZF Lifetec engineering.
4. Jinrong readiness: IATF planned, and to pass ZF Lifetec audit within 2026, to support the PPAP.-- ZF Lifetec SDE NA.
5. To check available NA coaters and share coater contacts (e.g. bright finishing) with Jinrong, to further improve the cost. Or to check with Jinrong the possibility to do coating in house. -- CM</t>
  </si>
  <si>
    <t>1st case to build MX local production line for SPR6.1 tube.</t>
  </si>
  <si>
    <t>1. To check with supplier about NQC survey completion to avoid having sustainablity score 0. -- CM Melisa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</si>
</sst>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 [$EUR]"/>
    <numFmt numFmtId="165" formatCode="#,##0\ [$EUR];\-#,##0\ [$EUR]"/>
  </numFmts>
  <fonts count="8" x14ac:knownFonts="1">
    <font>
      <sz val="11"/>
      <color theme="1"/>
      <name val="Calibri"/>
      <family val="2"/>
      <scheme val="minor"/>
    </font>
    <font>
      <sz val="8"/>
      <color rgb="FF000000"/>
      <name val="Arial"/>
      <family val="2"/>
    </font>
    <font>
      <b/>
      <sz val="8"/>
      <color rgb="FFFFFFFF"/>
      <name val="Arial"/>
      <family val="2"/>
    </font>
    <font>
      <sz val="7.5"/>
      <color rgb="FF000000"/>
      <name val="Arial"/>
      <family val="2"/>
    </font>
    <font>
      <sz val="11"/>
      <color theme="1"/>
      <name val="Calibri"/>
      <family val="2"/>
      <scheme val="minor"/>
    </font>
    <font>
      <sz val="8"/>
      <color rgb="FFFF0000"/>
      <name val="Arial"/>
      <family val="2"/>
    </font>
    <font>
      <sz val="8"/>
      <color theme="1"/>
      <name val="Arial"/>
      <family val="2"/>
    </font>
    <font>
      <b/>
      <sz val="8"/>
      <color rgb="FF00B050"/>
      <name val="Arial"/>
      <family val="2"/>
    </font>
  </fonts>
  <fills count="7">
    <fill>
      <patternFill patternType="none"/>
    </fill>
    <fill>
      <patternFill patternType="gray125"/>
    </fill>
    <fill>
      <patternFill patternType="solid">
        <fgColor rgb="FFE73E11"/>
        <bgColor indexed="64"/>
      </patternFill>
    </fill>
    <fill>
      <patternFill patternType="solid">
        <fgColor rgb="FFF6CECC"/>
        <bgColor indexed="64"/>
      </patternFill>
    </fill>
    <fill>
      <patternFill patternType="solid">
        <fgColor theme="6"/>
        <bgColor indexed="64"/>
      </patternFill>
    </fill>
    <fill>
      <patternFill patternType="solid">
        <fgColor rgb="FFFFFF00"/>
        <bgColor indexed="64"/>
      </patternFill>
    </fill>
    <fill>
      <patternFill patternType="solid">
        <fgColor theme="9"/>
        <bgColor indexed="64"/>
      </patternFill>
    </fill>
  </fills>
  <borders count="12">
    <border>
      <left/>
      <right/>
      <top/>
      <bottom/>
      <diagonal/>
    </border>
    <border>
      <left style="medium">
        <color rgb="FFFFFFFF"/>
      </left>
      <right style="medium">
        <color rgb="FFFFFFFF"/>
      </right>
      <top style="medium">
        <color rgb="FFFFFFFF"/>
      </top>
      <bottom/>
      <diagonal/>
    </border>
    <border>
      <left style="medium">
        <color rgb="FFFFFFFF"/>
      </left>
      <right/>
      <top/>
      <bottom/>
      <diagonal/>
    </border>
    <border>
      <left style="medium">
        <color theme="0"/>
      </left>
      <right style="medium">
        <color rgb="FFFFFFFF"/>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rgb="FFFFFFFF"/>
      </left>
      <right style="medium">
        <color theme="0"/>
      </right>
      <top style="medium">
        <color theme="0"/>
      </top>
      <bottom/>
      <diagonal/>
    </border>
    <border>
      <left style="medium">
        <color rgb="FFFFFFFF"/>
      </left>
      <right style="medium">
        <color theme="0"/>
      </right>
      <top/>
      <bottom style="medium">
        <color theme="0"/>
      </bottom>
      <diagonal/>
    </border>
    <border>
      <left style="medium">
        <color rgb="FFFFFFFF"/>
      </left>
      <right style="medium">
        <color rgb="FFFFFFFF"/>
      </right>
      <top style="medium">
        <color theme="0"/>
      </top>
      <bottom/>
      <diagonal/>
    </border>
    <border>
      <left style="medium">
        <color rgb="FFFFFFFF"/>
      </left>
      <right style="medium">
        <color rgb="FFFFFFFF"/>
      </right>
      <top/>
      <bottom style="medium">
        <color theme="0"/>
      </bottom>
      <diagonal/>
    </border>
    <border>
      <left style="medium">
        <color theme="0"/>
      </left>
      <right style="medium">
        <color rgb="FFFFFFFF"/>
      </right>
      <top style="medium">
        <color theme="0"/>
      </top>
      <bottom/>
      <diagonal/>
    </border>
    <border>
      <left style="medium">
        <color theme="0"/>
      </left>
      <right style="medium">
        <color rgb="FFFFFFFF"/>
      </right>
      <top/>
      <bottom style="medium">
        <color theme="0"/>
      </bottom>
      <diagonal/>
    </border>
  </borders>
  <cellStyleXfs count="2">
    <xf numFmtId="0" fontId="0" fillId="0" borderId="0"/>
    <xf numFmtId="43" fontId="4" fillId="0" borderId="0" applyFont="0" applyFill="0" applyBorder="0" applyAlignment="0" applyProtection="0"/>
  </cellStyleXfs>
  <cellXfs count="29">
    <xf numFmtId="0" fontId="0" fillId="0" borderId="0" xfId="0"/>
    <xf numFmtId="0" fontId="0" fillId="0" borderId="0" xfId="0" applyAlignment="1">
      <alignment wrapText="1"/>
    </xf>
    <xf numFmtId="0" fontId="1" fillId="3" borderId="3" xfId="0" quotePrefix="1" applyFont="1" applyFill="1" applyBorder="1" applyAlignment="1">
      <alignment horizontal="left" vertical="center" wrapText="1" readingOrder="1"/>
    </xf>
    <xf numFmtId="0" fontId="2" fillId="2" borderId="1" xfId="0" applyFont="1" applyFill="1" applyBorder="1" applyAlignment="1">
      <alignment vertical="center" wrapText="1" readingOrder="1"/>
    </xf>
    <xf numFmtId="3" fontId="1" fillId="3" borderId="3" xfId="0" quotePrefix="1" applyNumberFormat="1" applyFont="1" applyFill="1" applyBorder="1" applyAlignment="1">
      <alignment horizontal="left" vertical="center" wrapText="1" readingOrder="1"/>
    </xf>
    <xf numFmtId="0" fontId="2" fillId="4" borderId="1" xfId="0" applyFont="1" applyFill="1" applyBorder="1" applyAlignment="1">
      <alignment horizontal="left" vertical="center" wrapText="1" readingOrder="1"/>
    </xf>
    <xf numFmtId="0" fontId="2" fillId="4" borderId="2" xfId="0" applyFont="1" applyFill="1" applyBorder="1" applyAlignment="1">
      <alignment horizontal="left" vertical="center" wrapText="1" readingOrder="1"/>
    </xf>
    <xf numFmtId="1" fontId="1" fillId="3" borderId="3" xfId="0" quotePrefix="1" applyNumberFormat="1" applyFont="1" applyFill="1" applyBorder="1" applyAlignment="1">
      <alignment horizontal="left" vertical="center" wrapText="1" readingOrder="1"/>
    </xf>
    <xf numFmtId="164" fontId="3" fillId="3" borderId="3" xfId="0" quotePrefix="1" applyNumberFormat="1" applyFont="1" applyFill="1" applyBorder="1" applyAlignment="1">
      <alignment horizontal="left" vertical="center" wrapText="1" readingOrder="1"/>
    </xf>
    <xf numFmtId="164" fontId="1" fillId="3" borderId="3" xfId="0" quotePrefix="1" applyNumberFormat="1" applyFont="1" applyFill="1" applyBorder="1" applyAlignment="1">
      <alignment horizontal="left" vertical="center" wrapText="1" readingOrder="1"/>
    </xf>
    <xf numFmtId="165" fontId="1" fillId="3" borderId="3" xfId="1" quotePrefix="1" applyNumberFormat="1" applyFont="1" applyFill="1" applyBorder="1" applyAlignment="1">
      <alignment horizontal="left" vertical="center" wrapText="1" readingOrder="1"/>
    </xf>
    <xf numFmtId="164" fontId="5" fillId="3" borderId="3" xfId="0" quotePrefix="1" applyNumberFormat="1" applyFont="1" applyFill="1" applyBorder="1" applyAlignment="1">
      <alignment horizontal="left" vertical="center" wrapText="1" readingOrder="1"/>
    </xf>
    <xf numFmtId="0" fontId="0" fillId="0" borderId="0" xfId="0" applyAlignment="1">
      <alignment horizontal="left"/>
    </xf>
    <xf numFmtId="0" fontId="6" fillId="3" borderId="3" xfId="0" quotePrefix="1" applyFont="1" applyFill="1" applyBorder="1" applyAlignment="1">
      <alignment horizontal="left" vertical="center" wrapText="1" readingOrder="1"/>
    </xf>
    <xf numFmtId="0" fontId="7" fillId="3" borderId="3" xfId="0" quotePrefix="1" applyFont="1" applyFill="1" applyBorder="1" applyAlignment="1">
      <alignment horizontal="center" vertical="center" wrapText="1" readingOrder="1"/>
    </xf>
    <xf numFmtId="0" fontId="2" fillId="2" borderId="1" xfId="0" applyFont="1" applyFill="1" applyBorder="1" applyAlignment="1">
      <alignment horizontal="left" vertical="center" wrapText="1" readingOrder="1"/>
    </xf>
    <xf numFmtId="164" fontId="0" fillId="0" borderId="0" xfId="0" applyNumberFormat="1"/>
    <xf numFmtId="0" fontId="0" fillId="5" borderId="0" xfId="0" applyFill="1" applyAlignment="1">
      <alignment horizontal="left"/>
    </xf>
    <xf numFmtId="0" fontId="0" fillId="6" borderId="0" xfId="0" applyFill="1" applyAlignment="1">
      <alignment horizontal="left"/>
    </xf>
    <xf numFmtId="0" fontId="1" fillId="3" borderId="4" xfId="0" quotePrefix="1" applyFont="1" applyFill="1" applyBorder="1" applyAlignment="1">
      <alignment horizontal="left" vertical="center" wrapText="1" readingOrder="1"/>
    </xf>
    <xf numFmtId="0" fontId="1" fillId="3" borderId="5" xfId="0" quotePrefix="1" applyFont="1" applyFill="1" applyBorder="1" applyAlignment="1">
      <alignment horizontal="left" vertical="center" wrapText="1" readingOrder="1"/>
    </xf>
    <xf numFmtId="0" fontId="1" fillId="3" borderId="6" xfId="0" quotePrefix="1" applyFont="1" applyFill="1" applyBorder="1" applyAlignment="1">
      <alignment horizontal="left" vertical="center" wrapText="1" readingOrder="1"/>
    </xf>
    <xf numFmtId="0" fontId="1" fillId="3" borderId="7" xfId="0" quotePrefix="1" applyFont="1" applyFill="1" applyBorder="1" applyAlignment="1">
      <alignment horizontal="left" vertical="center" wrapText="1" readingOrder="1"/>
    </xf>
    <xf numFmtId="0" fontId="1" fillId="3" borderId="8" xfId="0" quotePrefix="1" applyFont="1" applyFill="1" applyBorder="1" applyAlignment="1">
      <alignment horizontal="left" vertical="center" wrapText="1" readingOrder="1"/>
    </xf>
    <xf numFmtId="0" fontId="1" fillId="3" borderId="9" xfId="0" quotePrefix="1" applyFont="1" applyFill="1" applyBorder="1" applyAlignment="1">
      <alignment horizontal="left" vertical="center" wrapText="1" readingOrder="1"/>
    </xf>
    <xf numFmtId="0" fontId="1" fillId="3" borderId="10" xfId="0" quotePrefix="1" applyFont="1" applyFill="1" applyBorder="1" applyAlignment="1">
      <alignment horizontal="left" vertical="center" wrapText="1" readingOrder="1"/>
    </xf>
    <xf numFmtId="0" fontId="1" fillId="3" borderId="11" xfId="0" quotePrefix="1" applyFont="1" applyFill="1" applyBorder="1" applyAlignment="1">
      <alignment horizontal="left" vertical="center" wrapText="1" readingOrder="1"/>
    </xf>
    <xf numFmtId="0" fontId="7" fillId="3" borderId="4" xfId="0" quotePrefix="1" applyFont="1" applyFill="1" applyBorder="1" applyAlignment="1">
      <alignment horizontal="center" vertical="center" wrapText="1" readingOrder="1"/>
    </xf>
    <xf numFmtId="0" fontId="7" fillId="3" borderId="5" xfId="0" quotePrefix="1" applyFont="1" applyFill="1" applyBorder="1" applyAlignment="1">
      <alignment horizontal="center" vertical="center" wrapText="1" readingOrder="1"/>
    </xf>
  </cellXfs>
  <cellStyles count="2">
    <cellStyle name="Comma" xfId="1" builtinId="3"/>
    <cellStyle name="Normal" xfId="0" builtinId="0"/>
  </cellStyles>
  <dxfs count="2">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53340</xdr:colOff>
      <xdr:row>4</xdr:row>
      <xdr:rowOff>83820</xdr:rowOff>
    </xdr:from>
    <xdr:to>
      <xdr:col>10</xdr:col>
      <xdr:colOff>40749</xdr:colOff>
      <xdr:row>40</xdr:row>
      <xdr:rowOff>25324</xdr:rowOff>
    </xdr:to>
    <xdr:pic>
      <xdr:nvPicPr>
        <xdr:cNvPr id="2" name="Picture 1">
          <a:extLst>
            <a:ext uri="{FF2B5EF4-FFF2-40B4-BE49-F238E27FC236}">
              <a16:creationId xmlns:a16="http://schemas.microsoft.com/office/drawing/2014/main" id="{AF94A441-6449-6688-7E58-79128F1A034C}"/>
            </a:ext>
          </a:extLst>
        </xdr:cNvPr>
        <xdr:cNvPicPr>
          <a:picLocks noChangeAspect="1"/>
        </xdr:cNvPicPr>
      </xdr:nvPicPr>
      <xdr:blipFill>
        <a:blip xmlns:r="http://schemas.openxmlformats.org/officeDocument/2006/relationships" r:embed="rId1"/>
        <a:stretch>
          <a:fillRect/>
        </a:stretch>
      </xdr:blipFill>
      <xdr:spPr>
        <a:xfrm>
          <a:off x="662940" y="807720"/>
          <a:ext cx="8588484" cy="6460414"/>
        </a:xfrm>
        <a:prstGeom prst="rect">
          <a:avLst/>
        </a:prstGeom>
      </xdr:spPr>
    </xdr:pic>
    <xdr:clientData/>
  </xdr:twoCellAnchor>
  <xdr:twoCellAnchor editAs="oneCell">
    <xdr:from>
      <xdr:col>1</xdr:col>
      <xdr:colOff>0</xdr:colOff>
      <xdr:row>42</xdr:row>
      <xdr:rowOff>0</xdr:rowOff>
    </xdr:from>
    <xdr:to>
      <xdr:col>11</xdr:col>
      <xdr:colOff>130349</xdr:colOff>
      <xdr:row>76</xdr:row>
      <xdr:rowOff>111033</xdr:rowOff>
    </xdr:to>
    <xdr:pic>
      <xdr:nvPicPr>
        <xdr:cNvPr id="5" name="Picture 4">
          <a:extLst>
            <a:ext uri="{FF2B5EF4-FFF2-40B4-BE49-F238E27FC236}">
              <a16:creationId xmlns:a16="http://schemas.microsoft.com/office/drawing/2014/main" id="{C8E7FDB4-C7EA-C6EE-A70E-E681EAC46537}"/>
            </a:ext>
          </a:extLst>
        </xdr:cNvPr>
        <xdr:cNvPicPr>
          <a:picLocks noChangeAspect="1"/>
        </xdr:cNvPicPr>
      </xdr:nvPicPr>
      <xdr:blipFill>
        <a:blip xmlns:r="http://schemas.openxmlformats.org/officeDocument/2006/relationships" r:embed="rId2"/>
        <a:stretch>
          <a:fillRect/>
        </a:stretch>
      </xdr:blipFill>
      <xdr:spPr>
        <a:xfrm>
          <a:off x="609600" y="7600950"/>
          <a:ext cx="9335309" cy="626418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8</xdr:row>
      <xdr:rowOff>0</xdr:rowOff>
    </xdr:from>
    <xdr:to>
      <xdr:col>10</xdr:col>
      <xdr:colOff>175945</xdr:colOff>
      <xdr:row>21</xdr:row>
      <xdr:rowOff>70695</xdr:rowOff>
    </xdr:to>
    <xdr:pic>
      <xdr:nvPicPr>
        <xdr:cNvPr id="2" name="Picture 1">
          <a:extLst>
            <a:ext uri="{FF2B5EF4-FFF2-40B4-BE49-F238E27FC236}">
              <a16:creationId xmlns:a16="http://schemas.microsoft.com/office/drawing/2014/main" id="{F10CEB62-7FE8-65CC-F2CC-D8073F0AD574}"/>
            </a:ext>
          </a:extLst>
        </xdr:cNvPr>
        <xdr:cNvPicPr>
          <a:picLocks noChangeAspect="1"/>
        </xdr:cNvPicPr>
      </xdr:nvPicPr>
      <xdr:blipFill>
        <a:blip xmlns:r="http://schemas.openxmlformats.org/officeDocument/2006/relationships" r:embed="rId1"/>
        <a:stretch>
          <a:fillRect/>
        </a:stretch>
      </xdr:blipFill>
      <xdr:spPr>
        <a:xfrm>
          <a:off x="609600" y="1447800"/>
          <a:ext cx="7910245" cy="242337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B1669-4D19-42D8-86BB-E55FDF20445A}">
  <dimension ref="A1:Z30"/>
  <sheetViews>
    <sheetView tabSelected="1" topLeftCell="H1" zoomScaleNormal="100" workbookViewId="0">
      <selection activeCell="Q4" sqref="Q4"/>
    </sheetView>
  </sheetViews>
  <sheetFormatPr defaultRowHeight="14.4" x14ac:dyDescent="0.3"/>
  <cols>
    <col min="4" max="4" width="11.21875" customWidth="1"/>
    <col min="5" max="5" width="12.21875" customWidth="1"/>
    <col min="6" max="6" width="20.88671875" customWidth="1"/>
    <col min="7" max="7" width="13" bestFit="1" customWidth="1"/>
    <col min="8" max="8" width="11.77734375" customWidth="1"/>
    <col min="9" max="9" width="13.77734375" customWidth="1"/>
    <col min="10" max="10" width="14.44140625" customWidth="1"/>
    <col min="11" max="11" width="10.21875" customWidth="1"/>
    <col min="13" max="13" width="12" customWidth="1"/>
    <col min="14" max="14" width="13.77734375" customWidth="1"/>
    <col min="15" max="15" width="29.88671875" customWidth="1"/>
    <col min="16" max="16" width="14" customWidth="1"/>
    <col min="17" max="17" width="36.21875" customWidth="1"/>
    <col min="18" max="18" width="11.21875" customWidth="1"/>
    <col min="19" max="19" width="12.88671875" customWidth="1"/>
    <col min="20" max="21" width="8.5546875" customWidth="1"/>
    <col min="22" max="22" width="13" customWidth="1"/>
    <col min="23" max="23" width="16" customWidth="1"/>
    <col min="24" max="24" width="13.21875" customWidth="1"/>
    <col min="25" max="25" width="12.21875" customWidth="1"/>
    <col min="26" max="26" width="10.5546875" customWidth="1"/>
  </cols>
  <sheetData>
    <row r="1" spans="1:26" s="1" customFormat="1" ht="42.6" customHeight="1" thickBot="1" x14ac:dyDescent="0.35">
      <c r="A1" s="15" t="s">
        <v>0</v>
      </c>
      <c r="B1" s="15" t="s">
        <v>1</v>
      </c>
      <c r="C1" s="15" t="s">
        <v>2</v>
      </c>
      <c r="D1" s="15" t="s">
        <v>4</v>
      </c>
      <c r="E1" s="15" t="s">
        <v>5</v>
      </c>
      <c r="F1" s="15" t="s">
        <v>15</v>
      </c>
      <c r="G1" s="15" t="s">
        <v>9</v>
      </c>
      <c r="H1" s="15" t="s">
        <v>13</v>
      </c>
      <c r="I1" s="15" t="s">
        <v>10</v>
      </c>
      <c r="J1" s="15" t="s">
        <v>11</v>
      </c>
      <c r="K1" s="15" t="s">
        <v>6</v>
      </c>
      <c r="L1" s="15" t="s">
        <v>7</v>
      </c>
      <c r="M1" s="15" t="s">
        <v>8</v>
      </c>
      <c r="N1" s="15" t="s">
        <v>3</v>
      </c>
      <c r="O1" s="3" t="s">
        <v>25</v>
      </c>
      <c r="P1" s="3" t="s">
        <v>12</v>
      </c>
      <c r="Q1" s="3" t="s">
        <v>14</v>
      </c>
      <c r="R1" s="5" t="s">
        <v>16</v>
      </c>
      <c r="S1" s="5" t="s">
        <v>17</v>
      </c>
      <c r="T1" s="6" t="s">
        <v>18</v>
      </c>
      <c r="U1" s="6" t="s">
        <v>19</v>
      </c>
      <c r="V1" s="6" t="s">
        <v>22</v>
      </c>
      <c r="W1" s="6" t="s">
        <v>20</v>
      </c>
      <c r="X1" s="5" t="s">
        <v>23</v>
      </c>
      <c r="Y1" s="5" t="s">
        <v>21</v>
      </c>
      <c r="Z1" s="5" t="s">
        <v>24</v>
      </c>
    </row>
    <row r="2" spans="1:26" s="1" customFormat="1" ht="48" customHeight="1" thickBot="1" x14ac:dyDescent="0.35">
      <c r="A2" s="19">
        <v>1</v>
      </c>
      <c r="B2" s="25" t="s">
        <v>26</v>
      </c>
      <c r="C2" s="23" t="s">
        <v>27</v>
      </c>
      <c r="D2" s="2" t="s">
        <v>31</v>
      </c>
      <c r="E2" s="23" t="s">
        <v>28</v>
      </c>
      <c r="F2" s="23" t="s">
        <v>30</v>
      </c>
      <c r="G2" s="2" t="s">
        <v>29</v>
      </c>
      <c r="H2" s="21" t="s">
        <v>32</v>
      </c>
      <c r="I2" s="2" t="s">
        <v>38</v>
      </c>
      <c r="J2" s="23" t="s">
        <v>35</v>
      </c>
      <c r="K2" s="21" t="s">
        <v>36</v>
      </c>
      <c r="L2" s="19" t="s">
        <v>37</v>
      </c>
      <c r="M2" s="2" t="s">
        <v>39</v>
      </c>
      <c r="N2" s="2" t="s">
        <v>40</v>
      </c>
      <c r="O2" s="19" t="s">
        <v>67</v>
      </c>
      <c r="P2" s="27" t="s">
        <v>66</v>
      </c>
      <c r="Q2" s="19" t="s">
        <v>70</v>
      </c>
      <c r="R2" s="2" t="s">
        <v>33</v>
      </c>
      <c r="S2" s="13" t="s">
        <v>34</v>
      </c>
      <c r="T2" s="4">
        <v>135600</v>
      </c>
      <c r="U2" s="4">
        <v>813600</v>
      </c>
      <c r="V2" s="11">
        <f>(8.55-9.12)*T2</f>
        <v>-77291.999999999796</v>
      </c>
      <c r="W2" s="10">
        <f>(8.55-9.12)*U2</f>
        <v>-463751.99999999878</v>
      </c>
      <c r="X2" s="9">
        <v>0</v>
      </c>
      <c r="Y2" s="13" t="s">
        <v>47</v>
      </c>
      <c r="Z2" s="11">
        <f>24666</f>
        <v>24666</v>
      </c>
    </row>
    <row r="3" spans="1:26" s="1" customFormat="1" ht="49.5" customHeight="1" thickBot="1" x14ac:dyDescent="0.35">
      <c r="A3" s="20"/>
      <c r="B3" s="26"/>
      <c r="C3" s="24"/>
      <c r="D3" s="2" t="s">
        <v>56</v>
      </c>
      <c r="E3" s="24"/>
      <c r="F3" s="24"/>
      <c r="G3" s="2" t="s">
        <v>42</v>
      </c>
      <c r="H3" s="22"/>
      <c r="I3" s="2" t="s">
        <v>41</v>
      </c>
      <c r="J3" s="24"/>
      <c r="K3" s="22"/>
      <c r="L3" s="20"/>
      <c r="M3" s="2" t="s">
        <v>44</v>
      </c>
      <c r="N3" s="2" t="s">
        <v>43</v>
      </c>
      <c r="O3" s="20"/>
      <c r="P3" s="28"/>
      <c r="Q3" s="20"/>
      <c r="R3" s="2" t="s">
        <v>45</v>
      </c>
      <c r="S3" s="13" t="s">
        <v>46</v>
      </c>
      <c r="T3" s="4">
        <v>48667</v>
      </c>
      <c r="U3" s="4">
        <v>292000</v>
      </c>
      <c r="V3" s="11">
        <f>(8.8-9.11)*T3</f>
        <v>-15086.769999999939</v>
      </c>
      <c r="W3" s="11">
        <f>(8.8-9.11)*U3</f>
        <v>-90519.999999999622</v>
      </c>
      <c r="X3" s="9">
        <v>0</v>
      </c>
      <c r="Y3" s="13" t="s">
        <v>48</v>
      </c>
      <c r="Z3" s="11">
        <f>145620</f>
        <v>145620</v>
      </c>
    </row>
    <row r="4" spans="1:26" s="1" customFormat="1" ht="181.8" customHeight="1" thickBot="1" x14ac:dyDescent="0.35">
      <c r="A4" s="2">
        <v>2</v>
      </c>
      <c r="B4" s="2" t="s">
        <v>49</v>
      </c>
      <c r="C4" s="2" t="s">
        <v>50</v>
      </c>
      <c r="D4" s="2" t="s">
        <v>63</v>
      </c>
      <c r="E4" s="2" t="s">
        <v>51</v>
      </c>
      <c r="F4" s="2" t="s">
        <v>52</v>
      </c>
      <c r="G4" s="7">
        <v>110000032122</v>
      </c>
      <c r="H4" s="2" t="s">
        <v>53</v>
      </c>
      <c r="I4" s="2" t="s">
        <v>54</v>
      </c>
      <c r="J4" s="2" t="s">
        <v>62</v>
      </c>
      <c r="K4" s="2" t="s">
        <v>55</v>
      </c>
      <c r="L4" s="2" t="s">
        <v>37</v>
      </c>
      <c r="M4" s="2" t="s">
        <v>57</v>
      </c>
      <c r="N4" s="2" t="s">
        <v>58</v>
      </c>
      <c r="O4" s="8" t="s">
        <v>69</v>
      </c>
      <c r="P4" s="14" t="s">
        <v>66</v>
      </c>
      <c r="Q4" s="2" t="s">
        <v>68</v>
      </c>
      <c r="R4" s="2" t="s">
        <v>59</v>
      </c>
      <c r="S4" s="2" t="s">
        <v>60</v>
      </c>
      <c r="T4" s="4">
        <v>1068308</v>
      </c>
      <c r="U4" s="4">
        <v>9614770</v>
      </c>
      <c r="V4" s="10">
        <f>(0.73171-0.769)*T4</f>
        <v>-39837.205320000052</v>
      </c>
      <c r="W4" s="10">
        <f>(0.73171-0.769)*U4</f>
        <v>-358534.77330000041</v>
      </c>
      <c r="X4" s="9">
        <v>0</v>
      </c>
      <c r="Y4" s="9" t="s">
        <v>61</v>
      </c>
      <c r="Z4" s="11">
        <f>99743</f>
        <v>99743</v>
      </c>
    </row>
    <row r="5" spans="1:26" s="1" customFormat="1" ht="42.6" customHeight="1" x14ac:dyDescent="0.3"/>
    <row r="6" spans="1:26" s="1" customFormat="1" ht="42.6" customHeight="1" x14ac:dyDescent="0.3"/>
    <row r="7" spans="1:26" s="1" customFormat="1" ht="42.6" customHeight="1" x14ac:dyDescent="0.3"/>
    <row r="8" spans="1:26" s="1" customFormat="1" ht="42.6" customHeight="1" x14ac:dyDescent="0.3"/>
    <row r="9" spans="1:26" s="1" customFormat="1" ht="42.6" customHeight="1" x14ac:dyDescent="0.3"/>
    <row r="10" spans="1:26" s="1" customFormat="1" ht="42.6" customHeight="1" x14ac:dyDescent="0.3"/>
    <row r="11" spans="1:26" s="1" customFormat="1" ht="42.6" customHeight="1" x14ac:dyDescent="0.3"/>
    <row r="12" spans="1:26" s="1" customFormat="1" ht="42.6" customHeight="1" x14ac:dyDescent="0.3"/>
    <row r="13" spans="1:26" s="1" customFormat="1" ht="42.6" customHeight="1" x14ac:dyDescent="0.3"/>
    <row r="14" spans="1:26" s="1" customFormat="1" ht="42.6" customHeight="1" x14ac:dyDescent="0.3"/>
    <row r="15" spans="1:26" s="1" customFormat="1" ht="42.6" customHeight="1" x14ac:dyDescent="0.3"/>
    <row r="16" spans="1:26" s="1" customFormat="1" ht="42.6" customHeight="1" x14ac:dyDescent="0.3"/>
    <row r="17" s="1" customFormat="1" ht="42.6" customHeight="1" x14ac:dyDescent="0.3"/>
    <row r="18" s="1" customFormat="1" ht="42.6" customHeight="1" x14ac:dyDescent="0.3"/>
    <row r="19" s="1" customFormat="1" ht="42.6" customHeight="1" x14ac:dyDescent="0.3"/>
    <row r="20" s="1" customFormat="1" ht="42.6" customHeight="1" x14ac:dyDescent="0.3"/>
    <row r="21" s="1" customFormat="1" ht="42.6" customHeight="1" x14ac:dyDescent="0.3"/>
    <row r="22" s="1" customFormat="1" ht="42.6" customHeight="1" x14ac:dyDescent="0.3"/>
    <row r="23" s="1" customFormat="1" ht="42.6" customHeight="1" x14ac:dyDescent="0.3"/>
    <row r="24" s="1" customFormat="1" ht="42.6" customHeight="1" x14ac:dyDescent="0.3"/>
    <row r="25" s="1" customFormat="1" ht="42.6" customHeight="1" x14ac:dyDescent="0.3"/>
    <row r="26" s="1" customFormat="1" ht="42.6" customHeight="1" x14ac:dyDescent="0.3"/>
    <row r="27" s="1" customFormat="1" ht="42.6" customHeight="1" x14ac:dyDescent="0.3"/>
    <row r="28" s="1" customFormat="1" ht="42.6" customHeight="1" x14ac:dyDescent="0.3"/>
    <row r="29" s="1" customFormat="1" ht="42.6" customHeight="1" x14ac:dyDescent="0.3"/>
    <row r="30" s="1" customFormat="1" ht="42.6" customHeight="1" x14ac:dyDescent="0.3"/>
  </sheetData>
  <mergeCells count="12">
    <mergeCell ref="Q2:Q3"/>
    <mergeCell ref="H2:H3"/>
    <mergeCell ref="K2:K3"/>
    <mergeCell ref="L2:L3"/>
    <mergeCell ref="A2:A3"/>
    <mergeCell ref="F2:F3"/>
    <mergeCell ref="E2:E3"/>
    <mergeCell ref="C2:C3"/>
    <mergeCell ref="B2:B3"/>
    <mergeCell ref="O2:O3"/>
    <mergeCell ref="P2:P3"/>
    <mergeCell ref="J2:J3"/>
  </mergeCells>
  <conditionalFormatting sqref="V1 Z1:Z1048576 V2:W3 V4:V1048576">
    <cfRule type="cellIs" dxfId="1" priority="5" operator="lessThan">
      <formula>0</formula>
    </cfRule>
  </conditionalFormatting>
  <conditionalFormatting sqref="W4">
    <cfRule type="cellIs" dxfId="0" priority="2" operator="lessThan">
      <formula>0</formula>
    </cfRule>
  </conditionalFormatting>
  <pageMargins left="0.7" right="0.7" top="0.75" bottom="0.75" header="0.3" footer="0.3"/>
  <pageSetup paperSize="9" orientation="portrait" r:id="rId1"/>
  <customProperties>
    <customPr name="_pios_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923E2-E772-45E4-AD62-7B7E87054B0C}">
  <dimension ref="B2:C3"/>
  <sheetViews>
    <sheetView workbookViewId="0">
      <selection activeCell="N31" sqref="M30:N31"/>
    </sheetView>
  </sheetViews>
  <sheetFormatPr defaultRowHeight="14.4" x14ac:dyDescent="0.3"/>
  <cols>
    <col min="2" max="2" width="46.21875" customWidth="1"/>
    <col min="3" max="3" width="17" style="12" customWidth="1"/>
  </cols>
  <sheetData>
    <row r="2" spans="2:3" x14ac:dyDescent="0.3">
      <c r="B2" t="s">
        <v>64</v>
      </c>
      <c r="C2" s="17">
        <v>62</v>
      </c>
    </row>
    <row r="3" spans="2:3" x14ac:dyDescent="0.3">
      <c r="B3" s="1" t="s">
        <v>65</v>
      </c>
      <c r="C3" s="18">
        <v>91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089C3-EA5B-446D-9C19-D7ADD5701EDB}">
  <dimension ref="B3:D5"/>
  <sheetViews>
    <sheetView workbookViewId="0">
      <selection activeCell="B3" sqref="B3:B4"/>
    </sheetView>
  </sheetViews>
  <sheetFormatPr defaultRowHeight="14.4" x14ac:dyDescent="0.3"/>
  <cols>
    <col min="2" max="2" width="37.6640625" bestFit="1" customWidth="1"/>
    <col min="3" max="3" width="7.77734375" bestFit="1" customWidth="1"/>
    <col min="4" max="4" width="14" bestFit="1" customWidth="1"/>
  </cols>
  <sheetData>
    <row r="3" spans="2:4" x14ac:dyDescent="0.3">
      <c r="B3" t="s">
        <v>64</v>
      </c>
      <c r="C3" s="12"/>
      <c r="D3" s="16">
        <v>0</v>
      </c>
    </row>
    <row r="4" spans="2:4" x14ac:dyDescent="0.3">
      <c r="B4" s="1" t="s">
        <v>65</v>
      </c>
      <c r="C4" s="12"/>
      <c r="D4" s="16">
        <f>122205+436</f>
        <v>122641</v>
      </c>
    </row>
    <row r="5" spans="2:4" x14ac:dyDescent="0.3">
      <c r="C5" s="12"/>
    </row>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D2AE94798D0E7D4487CB84FC9A87565D" ma:contentTypeVersion="10" ma:contentTypeDescription="Ein neues Dokument erstellen." ma:contentTypeScope="" ma:versionID="489a9c820ca95f30f281d2d870c3f154">
  <xsd:schema xmlns:xsd="http://www.w3.org/2001/XMLSchema" xmlns:xs="http://www.w3.org/2001/XMLSchema" xmlns:p="http://schemas.microsoft.com/office/2006/metadata/properties" xmlns:ns2="c58f02bd-e0b7-474b-a2bc-9a19f162f3a8" xmlns:ns3="b7d00205-0ffb-4bc2-b18e-b800942d8fea" targetNamespace="http://schemas.microsoft.com/office/2006/metadata/properties" ma:root="true" ma:fieldsID="8df1e44b885ba372004f019dce495b7b" ns2:_="" ns3:_="">
    <xsd:import namespace="c58f02bd-e0b7-474b-a2bc-9a19f162f3a8"/>
    <xsd:import namespace="b7d00205-0ffb-4bc2-b18e-b800942d8fe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8f02bd-e0b7-474b-a2bc-9a19f162f3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42c1abb6-7528-48c8-bade-a0efe805682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7d00205-0ffb-4bc2-b18e-b800942d8fe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0f941d5-66b0-4dcf-b0f6-17179381c1ce}" ma:internalName="TaxCatchAll" ma:showField="CatchAllData" ma:web="b7d00205-0ffb-4bc2-b18e-b800942d8fe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7d00205-0ffb-4bc2-b18e-b800942d8fea" xsi:nil="true"/>
    <lcf76f155ced4ddcb4097134ff3c332f xmlns="c58f02bd-e0b7-474b-a2bc-9a19f162f3a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687FFB0-B212-40DC-9936-592A209BD2F1}"/>
</file>

<file path=customXml/itemProps2.xml><?xml version="1.0" encoding="utf-8"?>
<ds:datastoreItem xmlns:ds="http://schemas.openxmlformats.org/officeDocument/2006/customXml" ds:itemID="{55053299-25FA-4E30-8BB2-40E9886DA5B4}"/>
</file>

<file path=customXml/itemProps3.xml><?xml version="1.0" encoding="utf-8"?>
<ds:datastoreItem xmlns:ds="http://schemas.openxmlformats.org/officeDocument/2006/customXml" ds:itemID="{73B61997-0CD8-46B0-BA35-82BF4B5EB0F6}"/>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KW50, 2025</vt:lpstr>
      <vt:lpstr>Scorecard</vt:lpstr>
      <vt:lpstr>BPP</vt:lpstr>
    </vt:vector>
  </TitlesOfParts>
  <Company>RVNA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Xiangwei Chen ALF RPSBE1</dc:creator>
  <cp:lastModifiedBy>Xiangwei Chen ALF RPSBE1</cp:lastModifiedBy>
  <cp:lastPrinted>2025-09-03T13:26:17Z</cp:lastPrinted>
  <dcterms:created xsi:type="dcterms:W3CDTF">2025-09-02T13:26:50Z</dcterms:created>
  <dcterms:modified xsi:type="dcterms:W3CDTF">2025-12-10T15:16:48Z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b557171-d5a2-4c27-b720-d0ccc7e87f50_Enabled">
    <vt:lpwstr>true</vt:lpwstr>
  </property>
  <property fmtid="{D5CDD505-2E9C-101B-9397-08002B2CF9AE}" pid="3" name="MSIP_Label_1b557171-d5a2-4c27-b720-d0ccc7e87f50_SetDate">
    <vt:lpwstr>2025-09-02T13:33:29Z</vt:lpwstr>
  </property>
  <property fmtid="{D5CDD505-2E9C-101B-9397-08002B2CF9AE}" pid="4" name="MSIP_Label_1b557171-d5a2-4c27-b720-d0ccc7e87f50_Method">
    <vt:lpwstr>Privileged</vt:lpwstr>
  </property>
  <property fmtid="{D5CDD505-2E9C-101B-9397-08002B2CF9AE}" pid="5" name="MSIP_Label_1b557171-d5a2-4c27-b720-d0ccc7e87f50_Name">
    <vt:lpwstr>RVNA Confidential Sub_2</vt:lpwstr>
  </property>
  <property fmtid="{D5CDD505-2E9C-101B-9397-08002B2CF9AE}" pid="6" name="MSIP_Label_1b557171-d5a2-4c27-b720-d0ccc7e87f50_SiteId">
    <vt:lpwstr>87f9dc52-94b9-4266-8431-8be91e1f699c</vt:lpwstr>
  </property>
  <property fmtid="{D5CDD505-2E9C-101B-9397-08002B2CF9AE}" pid="7" name="MSIP_Label_1b557171-d5a2-4c27-b720-d0ccc7e87f50_ActionId">
    <vt:lpwstr>9560bc8f-fcd9-47ac-b9f2-f7340a6dea54</vt:lpwstr>
  </property>
  <property fmtid="{D5CDD505-2E9C-101B-9397-08002B2CF9AE}" pid="8" name="MSIP_Label_1b557171-d5a2-4c27-b720-d0ccc7e87f50_ContentBits">
    <vt:lpwstr>1</vt:lpwstr>
  </property>
  <property fmtid="{D5CDD505-2E9C-101B-9397-08002B2CF9AE}" pid="9" name="CustomUiType">
    <vt:lpwstr>2</vt:lpwstr>
  </property>
  <property fmtid="{D5CDD505-2E9C-101B-9397-08002B2CF9AE}" pid="10" name="ContentTypeId">
    <vt:lpwstr>0x010100D2AE94798D0E7D4487CB84FC9A87565D</vt:lpwstr>
  </property>
</Properties>
</file>