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passivesafety-my.sharepoint.com/personal/xiangwei_chen_zf-lifetec_com/Documents/Program Purchasing RB/01. Sourcing/Sourcing Alignment Committee/KW48, 26.11.2025/"/>
    </mc:Choice>
  </mc:AlternateContent>
  <xr:revisionPtr revIDLastSave="0" documentId="8_{29DA0857-DABF-4DB2-8BA8-2FC596F3A833}" xr6:coauthVersionLast="47" xr6:coauthVersionMax="47" xr10:uidLastSave="{00000000-0000-0000-0000-000000000000}"/>
  <bookViews>
    <workbookView xWindow="28680" yWindow="-120" windowWidth="29040" windowHeight="15720" xr2:uid="{00000000-000D-0000-FFFF-FFFF00000000}"/>
  </bookViews>
  <sheets>
    <sheet name="KW48, 2025" sheetId="4" r:id="rId1"/>
    <sheet name="One way customer directed buy l" sheetId="7" r:id="rId2"/>
    <sheet name="Scorecard" sheetId="5" r:id="rId3"/>
    <sheet name="BPP" sheetId="6"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4" l="1"/>
  <c r="Z2" i="4"/>
  <c r="W3" i="4"/>
  <c r="W2" i="4"/>
  <c r="V3" i="4"/>
  <c r="V2" i="4"/>
</calcChain>
</file>

<file path=xl/sharedStrings.xml><?xml version="1.0" encoding="utf-8"?>
<sst xmlns="http://schemas.openxmlformats.org/spreadsheetml/2006/main" count="53" uniqueCount="47">
  <si>
    <t>#</t>
  </si>
  <si>
    <t>Region</t>
  </si>
  <si>
    <t>Type</t>
  </si>
  <si>
    <t xml:space="preserve">LT Spend </t>
  </si>
  <si>
    <t>Project/ Product</t>
  </si>
  <si>
    <t>Commodity</t>
  </si>
  <si>
    <t>Presenter</t>
  </si>
  <si>
    <t>Decision Level</t>
  </si>
  <si>
    <t>Peak Year Spend</t>
  </si>
  <si>
    <t>SWAT ID / Bundle ID</t>
  </si>
  <si>
    <t>PN</t>
  </si>
  <si>
    <t>Recommended Supplier (s)</t>
  </si>
  <si>
    <t xml:space="preserve">Sourcing Decision </t>
  </si>
  <si>
    <t>Part Description</t>
  </si>
  <si>
    <t>Notes/Task/ Resp./ Due Date</t>
  </si>
  <si>
    <t>Parent PF Code</t>
  </si>
  <si>
    <t>CQA PC PRICE</t>
  </si>
  <si>
    <t>Rec. Supplier Landed</t>
  </si>
  <si>
    <t>Average Volume</t>
  </si>
  <si>
    <t>LT volume</t>
  </si>
  <si>
    <t>LT saving</t>
  </si>
  <si>
    <t xml:space="preserve">Rec. Supplier Tooling </t>
  </si>
  <si>
    <t>Average Year Saving vs CQA</t>
  </si>
  <si>
    <t>CQA Tooling</t>
  </si>
  <si>
    <t>Tooling Saving vs CQA</t>
  </si>
  <si>
    <t>L2</t>
  </si>
  <si>
    <t>Comment</t>
  </si>
  <si>
    <t>AP</t>
  </si>
  <si>
    <t>New</t>
  </si>
  <si>
    <t>VW Passat  PHEV</t>
  </si>
  <si>
    <t>Jiaxing Niuda technology Co., LTD</t>
  </si>
  <si>
    <t>Haojie Ding</t>
  </si>
  <si>
    <t>0.4 Mio Euro</t>
  </si>
  <si>
    <t>2 Mio Euro</t>
  </si>
  <si>
    <t>29,601 RMB/pc
2,746 Euro/pc</t>
  </si>
  <si>
    <t>B/2025/00330
110000030925</t>
  </si>
  <si>
    <t>B/2025/00330
110000030961</t>
  </si>
  <si>
    <t>R002R020B</t>
  </si>
  <si>
    <t>R002R019B</t>
  </si>
  <si>
    <t>33614 RMB
42609 Euro</t>
  </si>
  <si>
    <t>no results</t>
  </si>
  <si>
    <t>no record</t>
  </si>
  <si>
    <t>Approved</t>
  </si>
  <si>
    <t>1. One way customer directed buy letter available sent by ZF Lifetec Sales to SVW.
2. Supplier patented design.
3. ZF Lifetec SDE will do full PPAP towards this supplier. All needed audits, e.g. VDA mentioned, and QD83 mentioned/agreed in the "Business Commitment Letter".</t>
  </si>
  <si>
    <t xml:space="preserve">Load Limiter PEMM 2.0 </t>
  </si>
  <si>
    <t>MECHANICAL METALS – NON STANDARD
( SC0300904)</t>
  </si>
  <si>
    <t>MECHANICAL METALS – NON STANDARD 
( SC0300904)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</si>
</sst>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 #,##0"/>
    <numFmt numFmtId="165" formatCode="#,##0\ [$EUR]"/>
  </numFmts>
  <fonts count="5" x14ac:knownFonts="1">
    <font>
      <sz val="11"/>
      <color theme="1"/>
      <name val="Calibri"/>
      <family val="2"/>
      <scheme val="minor"/>
    </font>
    <font>
      <sz val="8"/>
      <color rgb="FF000000"/>
      <name val="Arial"/>
      <family val="2"/>
    </font>
    <font>
      <b/>
      <sz val="8"/>
      <color rgb="FFFFFFFF"/>
      <name val="Arial"/>
      <family val="2"/>
    </font>
    <font>
      <sz val="7.5"/>
      <color rgb="FF000000"/>
      <name val="Arial"/>
      <family val="2"/>
    </font>
    <font>
      <b/>
      <sz val="8"/>
      <color rgb="FFFF0000"/>
      <name val="Arial"/>
      <family val="2"/>
    </font>
  </fonts>
  <fills count="5">
    <fill>
      <patternFill patternType="none"/>
    </fill>
    <fill>
      <patternFill patternType="gray125"/>
    </fill>
    <fill>
      <patternFill patternType="solid">
        <fgColor rgb="FFE73E11"/>
        <bgColor indexed="64"/>
      </patternFill>
    </fill>
    <fill>
      <patternFill patternType="solid">
        <fgColor rgb="FFF6CECC"/>
        <bgColor indexed="64"/>
      </patternFill>
    </fill>
    <fill>
      <patternFill patternType="solid">
        <fgColor theme="6"/>
        <bgColor indexed="64"/>
      </patternFill>
    </fill>
  </fills>
  <borders count="12">
    <border>
      <left/>
      <right/>
      <top/>
      <bottom/>
      <diagonal/>
    </border>
    <border>
      <left style="medium">
        <color rgb="FFFFFFFF"/>
      </left>
      <right style="medium">
        <color rgb="FFFFFFFF"/>
      </right>
      <top style="medium">
        <color rgb="FFFFFFFF"/>
      </top>
      <bottom/>
      <diagonal/>
    </border>
    <border>
      <left style="medium">
        <color rgb="FFFFFFFF"/>
      </left>
      <right/>
      <top/>
      <bottom/>
      <diagonal/>
    </border>
    <border>
      <left style="medium">
        <color theme="0"/>
      </left>
      <right style="medium">
        <color rgb="FFFFFFFF"/>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rgb="FFFFFFFF"/>
      </left>
      <right style="medium">
        <color theme="0"/>
      </right>
      <top style="medium">
        <color theme="0"/>
      </top>
      <bottom/>
      <diagonal/>
    </border>
    <border>
      <left style="medium">
        <color rgb="FFFFFFFF"/>
      </left>
      <right style="medium">
        <color theme="0"/>
      </right>
      <top/>
      <bottom style="medium">
        <color theme="0"/>
      </bottom>
      <diagonal/>
    </border>
    <border>
      <left style="medium">
        <color rgb="FFFFFFFF"/>
      </left>
      <right style="medium">
        <color rgb="FFFFFFFF"/>
      </right>
      <top style="medium">
        <color theme="0"/>
      </top>
      <bottom/>
      <diagonal/>
    </border>
    <border>
      <left style="medium">
        <color rgb="FFFFFFFF"/>
      </left>
      <right style="medium">
        <color rgb="FFFFFFFF"/>
      </right>
      <top/>
      <bottom style="medium">
        <color theme="0"/>
      </bottom>
      <diagonal/>
    </border>
    <border>
      <left style="medium">
        <color theme="0"/>
      </left>
      <right style="medium">
        <color rgb="FFFFFFFF"/>
      </right>
      <top style="medium">
        <color theme="0"/>
      </top>
      <bottom/>
      <diagonal/>
    </border>
    <border>
      <left style="medium">
        <color theme="0"/>
      </left>
      <right style="medium">
        <color rgb="FFFFFFFF"/>
      </right>
      <top/>
      <bottom style="medium">
        <color theme="0"/>
      </bottom>
      <diagonal/>
    </border>
  </borders>
  <cellStyleXfs count="1">
    <xf numFmtId="0" fontId="0" fillId="0" borderId="0"/>
  </cellStyleXfs>
  <cellXfs count="25">
    <xf numFmtId="0" fontId="0" fillId="0" borderId="0" xfId="0"/>
    <xf numFmtId="0" fontId="0" fillId="0" borderId="0" xfId="0" applyAlignment="1">
      <alignment wrapText="1"/>
    </xf>
    <xf numFmtId="0" fontId="1" fillId="3" borderId="3" xfId="0" quotePrefix="1" applyFont="1" applyFill="1" applyBorder="1" applyAlignment="1">
      <alignment horizontal="left" vertical="center" wrapText="1" readingOrder="1"/>
    </xf>
    <xf numFmtId="0" fontId="2" fillId="2" borderId="1" xfId="0" applyFont="1" applyFill="1" applyBorder="1" applyAlignment="1">
      <alignment vertical="center" wrapText="1" readingOrder="1"/>
    </xf>
    <xf numFmtId="3" fontId="1" fillId="3" borderId="3" xfId="0" quotePrefix="1" applyNumberFormat="1" applyFont="1" applyFill="1" applyBorder="1" applyAlignment="1">
      <alignment horizontal="left" vertical="center" wrapText="1" readingOrder="1"/>
    </xf>
    <xf numFmtId="0" fontId="2" fillId="4" borderId="1" xfId="0" applyFont="1" applyFill="1" applyBorder="1" applyAlignment="1">
      <alignment horizontal="left" vertical="center" wrapText="1" readingOrder="1"/>
    </xf>
    <xf numFmtId="0" fontId="2" fillId="4" borderId="2" xfId="0" applyFont="1" applyFill="1" applyBorder="1" applyAlignment="1">
      <alignment horizontal="left" vertical="center" wrapText="1" readingOrder="1"/>
    </xf>
    <xf numFmtId="1" fontId="1" fillId="3" borderId="3" xfId="0" quotePrefix="1" applyNumberFormat="1" applyFont="1" applyFill="1" applyBorder="1" applyAlignment="1">
      <alignment horizontal="left" vertical="center" wrapText="1" readingOrder="1"/>
    </xf>
    <xf numFmtId="165" fontId="3" fillId="3" borderId="3" xfId="0" quotePrefix="1" applyNumberFormat="1" applyFont="1" applyFill="1" applyBorder="1" applyAlignment="1">
      <alignment horizontal="left" vertical="center" wrapText="1" readingOrder="1"/>
    </xf>
    <xf numFmtId="0" fontId="1" fillId="3" borderId="3" xfId="0" quotePrefix="1" applyFont="1" applyFill="1" applyBorder="1" applyAlignment="1">
      <alignment horizontal="center" vertical="center" wrapText="1" readingOrder="1"/>
    </xf>
    <xf numFmtId="165" fontId="1" fillId="3" borderId="3" xfId="0" quotePrefix="1" applyNumberFormat="1" applyFont="1" applyFill="1" applyBorder="1" applyAlignment="1">
      <alignment horizontal="left" vertical="center" wrapText="1" readingOrder="1"/>
    </xf>
    <xf numFmtId="164" fontId="1" fillId="3" borderId="4" xfId="0" quotePrefix="1" applyNumberFormat="1" applyFont="1" applyFill="1" applyBorder="1" applyAlignment="1">
      <alignment horizontal="center" vertical="center" wrapText="1" readingOrder="1"/>
    </xf>
    <xf numFmtId="164" fontId="1" fillId="3" borderId="5" xfId="0" quotePrefix="1" applyNumberFormat="1" applyFont="1" applyFill="1" applyBorder="1" applyAlignment="1">
      <alignment horizontal="center" vertical="center" wrapText="1" readingOrder="1"/>
    </xf>
    <xf numFmtId="0" fontId="1" fillId="3" borderId="8" xfId="0" quotePrefix="1" applyFont="1" applyFill="1" applyBorder="1" applyAlignment="1">
      <alignment horizontal="center" vertical="center" wrapText="1" readingOrder="1"/>
    </xf>
    <xf numFmtId="0" fontId="1" fillId="3" borderId="9" xfId="0" quotePrefix="1" applyFont="1" applyFill="1" applyBorder="1" applyAlignment="1">
      <alignment horizontal="center" vertical="center" wrapText="1" readingOrder="1"/>
    </xf>
    <xf numFmtId="0" fontId="1" fillId="3" borderId="4" xfId="0" quotePrefix="1" applyFont="1" applyFill="1" applyBorder="1" applyAlignment="1">
      <alignment horizontal="center" vertical="center" wrapText="1" readingOrder="1"/>
    </xf>
    <xf numFmtId="0" fontId="1" fillId="3" borderId="5" xfId="0" quotePrefix="1" applyFont="1" applyFill="1" applyBorder="1" applyAlignment="1">
      <alignment horizontal="center" vertical="center" wrapText="1" readingOrder="1"/>
    </xf>
    <xf numFmtId="0" fontId="1" fillId="3" borderId="6" xfId="0" quotePrefix="1" applyFont="1" applyFill="1" applyBorder="1" applyAlignment="1">
      <alignment horizontal="center" vertical="center" wrapText="1" readingOrder="1"/>
    </xf>
    <xf numFmtId="0" fontId="1" fillId="3" borderId="7" xfId="0" quotePrefix="1" applyFont="1" applyFill="1" applyBorder="1" applyAlignment="1">
      <alignment horizontal="center" vertical="center" wrapText="1" readingOrder="1"/>
    </xf>
    <xf numFmtId="0" fontId="1" fillId="3" borderId="10" xfId="0" quotePrefix="1" applyFont="1" applyFill="1" applyBorder="1" applyAlignment="1">
      <alignment horizontal="center" vertical="center" wrapText="1" readingOrder="1"/>
    </xf>
    <xf numFmtId="0" fontId="1" fillId="3" borderId="11" xfId="0" quotePrefix="1" applyFont="1" applyFill="1" applyBorder="1" applyAlignment="1">
      <alignment horizontal="center" vertical="center" wrapText="1" readingOrder="1"/>
    </xf>
    <xf numFmtId="0" fontId="1" fillId="3" borderId="4" xfId="0" quotePrefix="1" applyFont="1" applyFill="1" applyBorder="1" applyAlignment="1">
      <alignment horizontal="left" vertical="center" wrapText="1" readingOrder="1"/>
    </xf>
    <xf numFmtId="0" fontId="1" fillId="3" borderId="5" xfId="0" quotePrefix="1" applyFont="1" applyFill="1" applyBorder="1" applyAlignment="1">
      <alignment horizontal="left" vertical="center" wrapText="1" readingOrder="1"/>
    </xf>
    <xf numFmtId="0" fontId="4" fillId="3" borderId="4" xfId="0" quotePrefix="1" applyFont="1" applyFill="1" applyBorder="1" applyAlignment="1">
      <alignment horizontal="center" vertical="center" wrapText="1" readingOrder="1"/>
    </xf>
    <xf numFmtId="0" fontId="4" fillId="3" borderId="5" xfId="0" quotePrefix="1" applyFont="1" applyFill="1" applyBorder="1" applyAlignment="1">
      <alignment horizontal="center" vertical="center" wrapText="1" readingOrder="1"/>
    </xf>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152400</xdr:rowOff>
    </xdr:from>
    <xdr:to>
      <xdr:col>9</xdr:col>
      <xdr:colOff>105062</xdr:colOff>
      <xdr:row>31</xdr:row>
      <xdr:rowOff>76484</xdr:rowOff>
    </xdr:to>
    <xdr:pic>
      <xdr:nvPicPr>
        <xdr:cNvPr id="2" name="Picture 1">
          <a:extLst>
            <a:ext uri="{FF2B5EF4-FFF2-40B4-BE49-F238E27FC236}">
              <a16:creationId xmlns:a16="http://schemas.microsoft.com/office/drawing/2014/main" id="{4CB95CCD-83B6-328A-0F05-BEBCF39B2BFE}"/>
            </a:ext>
          </a:extLst>
        </xdr:cNvPr>
        <xdr:cNvPicPr>
          <a:picLocks noChangeAspect="1"/>
        </xdr:cNvPicPr>
      </xdr:nvPicPr>
      <xdr:blipFill>
        <a:blip xmlns:r="http://schemas.openxmlformats.org/officeDocument/2006/relationships" r:embed="rId1"/>
        <a:stretch>
          <a:fillRect/>
        </a:stretch>
      </xdr:blipFill>
      <xdr:spPr>
        <a:xfrm>
          <a:off x="0" y="152400"/>
          <a:ext cx="5591462" cy="5534309"/>
        </a:xfrm>
        <a:prstGeom prst="rect">
          <a:avLst/>
        </a:prstGeom>
      </xdr:spPr>
    </xdr:pic>
    <xdr:clientData/>
  </xdr:twoCellAnchor>
  <xdr:twoCellAnchor editAs="oneCell">
    <xdr:from>
      <xdr:col>1</xdr:col>
      <xdr:colOff>0</xdr:colOff>
      <xdr:row>32</xdr:row>
      <xdr:rowOff>0</xdr:rowOff>
    </xdr:from>
    <xdr:to>
      <xdr:col>8</xdr:col>
      <xdr:colOff>216130</xdr:colOff>
      <xdr:row>38</xdr:row>
      <xdr:rowOff>76260</xdr:rowOff>
    </xdr:to>
    <xdr:pic>
      <xdr:nvPicPr>
        <xdr:cNvPr id="3" name="Picture 2">
          <a:extLst>
            <a:ext uri="{FF2B5EF4-FFF2-40B4-BE49-F238E27FC236}">
              <a16:creationId xmlns:a16="http://schemas.microsoft.com/office/drawing/2014/main" id="{6C55E284-8D9F-6F1C-E477-25447CE29DEF}"/>
            </a:ext>
          </a:extLst>
        </xdr:cNvPr>
        <xdr:cNvPicPr>
          <a:picLocks noChangeAspect="1"/>
        </xdr:cNvPicPr>
      </xdr:nvPicPr>
      <xdr:blipFill>
        <a:blip xmlns:r="http://schemas.openxmlformats.org/officeDocument/2006/relationships" r:embed="rId2"/>
        <a:stretch>
          <a:fillRect/>
        </a:stretch>
      </xdr:blipFill>
      <xdr:spPr>
        <a:xfrm>
          <a:off x="609600" y="5791200"/>
          <a:ext cx="4483330" cy="11621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28575</xdr:rowOff>
    </xdr:from>
    <xdr:to>
      <xdr:col>18</xdr:col>
      <xdr:colOff>592079</xdr:colOff>
      <xdr:row>43</xdr:row>
      <xdr:rowOff>55015</xdr:rowOff>
    </xdr:to>
    <xdr:pic>
      <xdr:nvPicPr>
        <xdr:cNvPr id="2" name="Picture 1">
          <a:extLst>
            <a:ext uri="{FF2B5EF4-FFF2-40B4-BE49-F238E27FC236}">
              <a16:creationId xmlns:a16="http://schemas.microsoft.com/office/drawing/2014/main" id="{B6AFE4BD-48F1-F094-1293-54FE8D7125DA}"/>
            </a:ext>
          </a:extLst>
        </xdr:cNvPr>
        <xdr:cNvPicPr>
          <a:picLocks noChangeAspect="1"/>
        </xdr:cNvPicPr>
      </xdr:nvPicPr>
      <xdr:blipFill>
        <a:blip xmlns:r="http://schemas.openxmlformats.org/officeDocument/2006/relationships" r:embed="rId1"/>
        <a:stretch>
          <a:fillRect/>
        </a:stretch>
      </xdr:blipFill>
      <xdr:spPr>
        <a:xfrm>
          <a:off x="609600" y="390525"/>
          <a:ext cx="10955279" cy="74464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568325</xdr:colOff>
      <xdr:row>3</xdr:row>
      <xdr:rowOff>66675</xdr:rowOff>
    </xdr:from>
    <xdr:to>
      <xdr:col>15</xdr:col>
      <xdr:colOff>368760</xdr:colOff>
      <xdr:row>21</xdr:row>
      <xdr:rowOff>47791</xdr:rowOff>
    </xdr:to>
    <xdr:pic>
      <xdr:nvPicPr>
        <xdr:cNvPr id="2" name="Picture 1">
          <a:extLst>
            <a:ext uri="{FF2B5EF4-FFF2-40B4-BE49-F238E27FC236}">
              <a16:creationId xmlns:a16="http://schemas.microsoft.com/office/drawing/2014/main" id="{59EA1BAC-ED39-991D-4F10-F5FFEC3EA3C8}"/>
            </a:ext>
          </a:extLst>
        </xdr:cNvPr>
        <xdr:cNvPicPr>
          <a:picLocks noChangeAspect="1"/>
        </xdr:cNvPicPr>
      </xdr:nvPicPr>
      <xdr:blipFill>
        <a:blip xmlns:r="http://schemas.openxmlformats.org/officeDocument/2006/relationships" r:embed="rId1"/>
        <a:stretch>
          <a:fillRect/>
        </a:stretch>
      </xdr:blipFill>
      <xdr:spPr>
        <a:xfrm>
          <a:off x="568325" y="609600"/>
          <a:ext cx="8944435" cy="323866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B1669-4D19-42D8-86BB-E55FDF20445A}">
  <dimension ref="A1:Z31"/>
  <sheetViews>
    <sheetView tabSelected="1" zoomScaleNormal="100" workbookViewId="0">
      <selection activeCell="P2" sqref="A1:P3"/>
    </sheetView>
  </sheetViews>
  <sheetFormatPr defaultRowHeight="14.5" x14ac:dyDescent="0.35"/>
  <cols>
    <col min="5" max="5" width="17.08984375" customWidth="1"/>
    <col min="6" max="6" width="19.54296875" customWidth="1"/>
    <col min="7" max="7" width="13" bestFit="1" customWidth="1"/>
    <col min="9" max="9" width="13.81640625" customWidth="1"/>
    <col min="10" max="10" width="14.453125" customWidth="1"/>
    <col min="11" max="11" width="10.1796875" customWidth="1"/>
    <col min="13" max="13" width="12" customWidth="1"/>
    <col min="14" max="14" width="13.81640625" customWidth="1"/>
    <col min="15" max="15" width="29.90625" customWidth="1"/>
    <col min="16" max="16" width="14" customWidth="1"/>
    <col min="17" max="17" width="25.54296875" customWidth="1"/>
    <col min="18" max="18" width="11.1796875" customWidth="1"/>
    <col min="19" max="19" width="11.453125" customWidth="1"/>
    <col min="20" max="21" width="8.54296875" customWidth="1"/>
    <col min="22" max="22" width="13" customWidth="1"/>
    <col min="23" max="23" width="16" customWidth="1"/>
    <col min="24" max="24" width="13.26953125" customWidth="1"/>
    <col min="25" max="25" width="10.1796875" customWidth="1"/>
    <col min="26" max="26" width="10.54296875" customWidth="1"/>
  </cols>
  <sheetData>
    <row r="1" spans="1:26" s="1" customFormat="1" ht="42.65" customHeight="1" thickBot="1" x14ac:dyDescent="0.4">
      <c r="A1" s="3" t="s">
        <v>0</v>
      </c>
      <c r="B1" s="3" t="s">
        <v>1</v>
      </c>
      <c r="C1" s="3" t="s">
        <v>2</v>
      </c>
      <c r="D1" s="3" t="s">
        <v>4</v>
      </c>
      <c r="E1" s="3" t="s">
        <v>5</v>
      </c>
      <c r="F1" s="3" t="s">
        <v>15</v>
      </c>
      <c r="G1" s="3" t="s">
        <v>9</v>
      </c>
      <c r="H1" s="3" t="s">
        <v>13</v>
      </c>
      <c r="I1" s="3" t="s">
        <v>10</v>
      </c>
      <c r="J1" s="3" t="s">
        <v>11</v>
      </c>
      <c r="K1" s="3" t="s">
        <v>6</v>
      </c>
      <c r="L1" s="3" t="s">
        <v>7</v>
      </c>
      <c r="M1" s="3" t="s">
        <v>8</v>
      </c>
      <c r="N1" s="3" t="s">
        <v>3</v>
      </c>
      <c r="O1" s="3" t="s">
        <v>26</v>
      </c>
      <c r="P1" s="3" t="s">
        <v>12</v>
      </c>
      <c r="Q1" s="3" t="s">
        <v>14</v>
      </c>
      <c r="R1" s="5" t="s">
        <v>16</v>
      </c>
      <c r="S1" s="5" t="s">
        <v>17</v>
      </c>
      <c r="T1" s="6" t="s">
        <v>18</v>
      </c>
      <c r="U1" s="6" t="s">
        <v>19</v>
      </c>
      <c r="V1" s="6" t="s">
        <v>22</v>
      </c>
      <c r="W1" s="6" t="s">
        <v>20</v>
      </c>
      <c r="X1" s="5" t="s">
        <v>23</v>
      </c>
      <c r="Y1" s="5" t="s">
        <v>21</v>
      </c>
      <c r="Z1" s="5" t="s">
        <v>24</v>
      </c>
    </row>
    <row r="2" spans="1:26" s="1" customFormat="1" ht="40" customHeight="1" thickBot="1" x14ac:dyDescent="0.4">
      <c r="A2" s="15">
        <v>1</v>
      </c>
      <c r="B2" s="19" t="s">
        <v>27</v>
      </c>
      <c r="C2" s="13" t="s">
        <v>28</v>
      </c>
      <c r="D2" s="13" t="s">
        <v>29</v>
      </c>
      <c r="E2" s="13" t="s">
        <v>45</v>
      </c>
      <c r="F2" s="13" t="s">
        <v>46</v>
      </c>
      <c r="G2" s="2" t="s">
        <v>35</v>
      </c>
      <c r="H2" s="17" t="s">
        <v>44</v>
      </c>
      <c r="I2" s="2" t="s">
        <v>37</v>
      </c>
      <c r="J2" s="13" t="s">
        <v>30</v>
      </c>
      <c r="K2" s="17" t="s">
        <v>31</v>
      </c>
      <c r="L2" s="15" t="s">
        <v>25</v>
      </c>
      <c r="M2" s="11" t="s">
        <v>32</v>
      </c>
      <c r="N2" s="11" t="s">
        <v>33</v>
      </c>
      <c r="O2" s="21" t="s">
        <v>43</v>
      </c>
      <c r="P2" s="23" t="s">
        <v>42</v>
      </c>
      <c r="Q2" s="2"/>
      <c r="R2" s="2" t="s">
        <v>34</v>
      </c>
      <c r="S2" s="2" t="s">
        <v>34</v>
      </c>
      <c r="T2" s="4">
        <v>40566</v>
      </c>
      <c r="U2" s="4">
        <v>283963</v>
      </c>
      <c r="V2" s="10">
        <f>(2.746-2.746)*T2</f>
        <v>0</v>
      </c>
      <c r="W2" s="10">
        <f>(2.746-2.746)*U2</f>
        <v>0</v>
      </c>
      <c r="X2" s="2" t="s">
        <v>39</v>
      </c>
      <c r="Y2" s="2" t="s">
        <v>39</v>
      </c>
      <c r="Z2" s="10">
        <f>42609-42609</f>
        <v>0</v>
      </c>
    </row>
    <row r="3" spans="1:26" s="1" customFormat="1" ht="40" customHeight="1" thickBot="1" x14ac:dyDescent="0.4">
      <c r="A3" s="16"/>
      <c r="B3" s="20"/>
      <c r="C3" s="14"/>
      <c r="D3" s="14"/>
      <c r="E3" s="14"/>
      <c r="F3" s="14"/>
      <c r="G3" s="2" t="s">
        <v>36</v>
      </c>
      <c r="H3" s="18"/>
      <c r="I3" s="2" t="s">
        <v>38</v>
      </c>
      <c r="J3" s="14"/>
      <c r="K3" s="18"/>
      <c r="L3" s="16"/>
      <c r="M3" s="12"/>
      <c r="N3" s="12"/>
      <c r="O3" s="22"/>
      <c r="P3" s="24"/>
      <c r="Q3" s="2"/>
      <c r="R3" s="2" t="s">
        <v>34</v>
      </c>
      <c r="S3" s="2" t="s">
        <v>34</v>
      </c>
      <c r="T3" s="4">
        <v>40566</v>
      </c>
      <c r="U3" s="4">
        <v>283963</v>
      </c>
      <c r="V3" s="10">
        <f>(2.746-2.746)*T3</f>
        <v>0</v>
      </c>
      <c r="W3" s="10">
        <f>(2.746-2.746)*U3</f>
        <v>0</v>
      </c>
      <c r="X3" s="2" t="s">
        <v>39</v>
      </c>
      <c r="Y3" s="2" t="s">
        <v>39</v>
      </c>
      <c r="Z3" s="10">
        <f>42609-42609</f>
        <v>0</v>
      </c>
    </row>
    <row r="4" spans="1:26" s="1" customFormat="1" ht="46.5" customHeight="1" thickBot="1" x14ac:dyDescent="0.4">
      <c r="A4" s="2"/>
      <c r="B4" s="2"/>
      <c r="C4" s="2"/>
      <c r="D4" s="2"/>
      <c r="E4" s="2"/>
      <c r="F4" s="2"/>
      <c r="G4" s="7"/>
      <c r="H4" s="2"/>
      <c r="I4" s="2"/>
      <c r="J4" s="2"/>
      <c r="K4" s="2"/>
      <c r="L4" s="2"/>
      <c r="M4" s="2"/>
      <c r="N4" s="2"/>
      <c r="O4" s="8"/>
      <c r="P4" s="9"/>
      <c r="Q4" s="2"/>
      <c r="R4" s="2"/>
      <c r="S4" s="2"/>
      <c r="T4" s="2"/>
      <c r="U4" s="2"/>
      <c r="V4" s="2"/>
      <c r="W4" s="2"/>
      <c r="X4" s="2"/>
      <c r="Y4" s="2"/>
      <c r="Z4" s="2"/>
    </row>
    <row r="5" spans="1:26" s="1" customFormat="1" ht="40" customHeight="1" thickBot="1" x14ac:dyDescent="0.4">
      <c r="A5" s="2"/>
      <c r="B5" s="2"/>
      <c r="C5" s="2"/>
      <c r="D5" s="2"/>
      <c r="E5" s="2"/>
      <c r="F5" s="2"/>
      <c r="G5" s="2"/>
      <c r="H5" s="2"/>
      <c r="I5" s="2"/>
      <c r="J5" s="2"/>
      <c r="K5" s="2"/>
      <c r="L5" s="2"/>
      <c r="M5" s="2"/>
      <c r="N5" s="2"/>
      <c r="O5" s="2"/>
      <c r="P5" s="2"/>
      <c r="Q5" s="2"/>
      <c r="R5" s="2"/>
      <c r="S5" s="2"/>
      <c r="T5" s="2"/>
      <c r="U5" s="2"/>
      <c r="V5" s="2"/>
      <c r="W5" s="2"/>
      <c r="X5" s="2"/>
      <c r="Y5" s="2"/>
      <c r="Z5" s="2"/>
    </row>
    <row r="6" spans="1:26" s="1" customFormat="1" ht="42.65" customHeight="1" x14ac:dyDescent="0.35"/>
    <row r="7" spans="1:26" s="1" customFormat="1" ht="42.65" customHeight="1" x14ac:dyDescent="0.35"/>
    <row r="8" spans="1:26" s="1" customFormat="1" ht="42.65" customHeight="1" x14ac:dyDescent="0.35"/>
    <row r="9" spans="1:26" s="1" customFormat="1" ht="42.65" customHeight="1" x14ac:dyDescent="0.35"/>
    <row r="10" spans="1:26" s="1" customFormat="1" ht="42.65" customHeight="1" x14ac:dyDescent="0.35"/>
    <row r="11" spans="1:26" s="1" customFormat="1" ht="42.65" customHeight="1" x14ac:dyDescent="0.35"/>
    <row r="12" spans="1:26" s="1" customFormat="1" ht="42.65" customHeight="1" x14ac:dyDescent="0.35"/>
    <row r="13" spans="1:26" s="1" customFormat="1" ht="42.65" customHeight="1" x14ac:dyDescent="0.35"/>
    <row r="14" spans="1:26" s="1" customFormat="1" ht="42.65" customHeight="1" x14ac:dyDescent="0.35"/>
    <row r="15" spans="1:26" s="1" customFormat="1" ht="42.65" customHeight="1" x14ac:dyDescent="0.35"/>
    <row r="16" spans="1:26" s="1" customFormat="1" ht="42.65" customHeight="1" x14ac:dyDescent="0.35"/>
    <row r="17" s="1" customFormat="1" ht="42.65" customHeight="1" x14ac:dyDescent="0.35"/>
    <row r="18" s="1" customFormat="1" ht="42.65" customHeight="1" x14ac:dyDescent="0.35"/>
    <row r="19" s="1" customFormat="1" ht="42.65" customHeight="1" x14ac:dyDescent="0.35"/>
    <row r="20" s="1" customFormat="1" ht="42.65" customHeight="1" x14ac:dyDescent="0.35"/>
    <row r="21" s="1" customFormat="1" ht="42.65" customHeight="1" x14ac:dyDescent="0.35"/>
    <row r="22" s="1" customFormat="1" ht="42.65" customHeight="1" x14ac:dyDescent="0.35"/>
    <row r="23" s="1" customFormat="1" ht="42.65" customHeight="1" x14ac:dyDescent="0.35"/>
    <row r="24" s="1" customFormat="1" ht="42.65" customHeight="1" x14ac:dyDescent="0.35"/>
    <row r="25" s="1" customFormat="1" ht="42.65" customHeight="1" x14ac:dyDescent="0.35"/>
    <row r="26" s="1" customFormat="1" ht="42.65" customHeight="1" x14ac:dyDescent="0.35"/>
    <row r="27" s="1" customFormat="1" ht="42.65" customHeight="1" x14ac:dyDescent="0.35"/>
    <row r="28" s="1" customFormat="1" ht="42.65" customHeight="1" x14ac:dyDescent="0.35"/>
    <row r="29" s="1" customFormat="1" ht="42.65" customHeight="1" x14ac:dyDescent="0.35"/>
    <row r="30" s="1" customFormat="1" ht="42.65" customHeight="1" x14ac:dyDescent="0.35"/>
    <row r="31" s="1" customFormat="1" ht="42.65" customHeight="1" x14ac:dyDescent="0.35"/>
  </sheetData>
  <mergeCells count="14">
    <mergeCell ref="O2:O3"/>
    <mergeCell ref="P2:P3"/>
    <mergeCell ref="M2:M3"/>
    <mergeCell ref="N2:N3"/>
    <mergeCell ref="J2:J3"/>
    <mergeCell ref="A2:A3"/>
    <mergeCell ref="F2:F3"/>
    <mergeCell ref="E2:E3"/>
    <mergeCell ref="D2:D3"/>
    <mergeCell ref="C2:C3"/>
    <mergeCell ref="B2:B3"/>
    <mergeCell ref="H2:H3"/>
    <mergeCell ref="K2:K3"/>
    <mergeCell ref="L2:L3"/>
  </mergeCells>
  <conditionalFormatting sqref="V1:V2 V4:V1048576 V2:W3 Z1:Z1048576">
    <cfRule type="cellIs" dxfId="0" priority="3" operator="lessThan">
      <formula>0</formula>
    </cfRule>
  </conditionalFormatting>
  <pageMargins left="0.7" right="0.7" top="0.75" bottom="0.75" header="0.3" footer="0.3"/>
  <pageSetup paperSize="9"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47715-B744-48BA-8B62-69235246550C}">
  <dimension ref="A1"/>
  <sheetViews>
    <sheetView workbookViewId="0">
      <selection activeCell="B33" sqref="B33"/>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923E2-E772-45E4-AD62-7B7E87054B0C}">
  <dimension ref="B2"/>
  <sheetViews>
    <sheetView workbookViewId="0">
      <selection activeCell="B3" sqref="B3"/>
    </sheetView>
  </sheetViews>
  <sheetFormatPr defaultRowHeight="14.5" x14ac:dyDescent="0.35"/>
  <sheetData>
    <row r="2" spans="2:2" x14ac:dyDescent="0.35">
      <c r="B2" t="s">
        <v>41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089C3-EA5B-446D-9C19-D7ADD5701EDB}">
  <dimension ref="B3"/>
  <sheetViews>
    <sheetView workbookViewId="0">
      <selection activeCell="B3" sqref="B3"/>
    </sheetView>
  </sheetViews>
  <sheetFormatPr defaultRowHeight="14.5" x14ac:dyDescent="0.35"/>
  <sheetData>
    <row r="3" spans="2:2" x14ac:dyDescent="0.35">
      <c r="B3" t="s">
        <v>40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2AE94798D0E7D4487CB84FC9A87565D" ma:contentTypeVersion="10" ma:contentTypeDescription="Ein neues Dokument erstellen." ma:contentTypeScope="" ma:versionID="489a9c820ca95f30f281d2d870c3f154">
  <xsd:schema xmlns:xsd="http://www.w3.org/2001/XMLSchema" xmlns:xs="http://www.w3.org/2001/XMLSchema" xmlns:p="http://schemas.microsoft.com/office/2006/metadata/properties" xmlns:ns2="c58f02bd-e0b7-474b-a2bc-9a19f162f3a8" xmlns:ns3="b7d00205-0ffb-4bc2-b18e-b800942d8fea" targetNamespace="http://schemas.microsoft.com/office/2006/metadata/properties" ma:root="true" ma:fieldsID="8df1e44b885ba372004f019dce495b7b" ns2:_="" ns3:_="">
    <xsd:import namespace="c58f02bd-e0b7-474b-a2bc-9a19f162f3a8"/>
    <xsd:import namespace="b7d00205-0ffb-4bc2-b18e-b800942d8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8f02bd-e0b7-474b-a2bc-9a19f162f3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2c1abb6-7528-48c8-bade-a0efe80568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7d00205-0ffb-4bc2-b18e-b800942d8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0f941d5-66b0-4dcf-b0f6-17179381c1ce}" ma:internalName="TaxCatchAll" ma:showField="CatchAllData" ma:web="b7d00205-0ffb-4bc2-b18e-b800942d8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58f02bd-e0b7-474b-a2bc-9a19f162f3a8">
      <Terms xmlns="http://schemas.microsoft.com/office/infopath/2007/PartnerControls"/>
    </lcf76f155ced4ddcb4097134ff3c332f>
    <TaxCatchAll xmlns="b7d00205-0ffb-4bc2-b18e-b800942d8fea" xsi:nil="true"/>
  </documentManagement>
</p:properties>
</file>

<file path=customXml/itemProps1.xml><?xml version="1.0" encoding="utf-8"?>
<ds:datastoreItem xmlns:ds="http://schemas.openxmlformats.org/officeDocument/2006/customXml" ds:itemID="{1E4E1367-0A61-4DEA-9FD2-862E80E036C5}"/>
</file>

<file path=customXml/itemProps2.xml><?xml version="1.0" encoding="utf-8"?>
<ds:datastoreItem xmlns:ds="http://schemas.openxmlformats.org/officeDocument/2006/customXml" ds:itemID="{3D431B8F-CCAE-45C4-ABBC-9DFB2C0EA7F8}"/>
</file>

<file path=customXml/itemProps3.xml><?xml version="1.0" encoding="utf-8"?>
<ds:datastoreItem xmlns:ds="http://schemas.openxmlformats.org/officeDocument/2006/customXml" ds:itemID="{E46586CA-AEB4-40F1-A955-F717416E0DB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KW48, 2025</vt:lpstr>
      <vt:lpstr>One way customer directed buy l</vt:lpstr>
      <vt:lpstr>Scorecard</vt:lpstr>
      <vt:lpstr>BPP</vt:lpstr>
    </vt:vector>
  </TitlesOfParts>
  <Company>RVNA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Xiangwei Chen ALF RPSBE1</dc:creator>
  <cp:lastModifiedBy>Xiangwei Chen ALF RPSBE1</cp:lastModifiedBy>
  <cp:lastPrinted>2025-09-03T13:26:17Z</cp:lastPrinted>
  <dcterms:created xsi:type="dcterms:W3CDTF">2025-09-02T13:26:50Z</dcterms:created>
  <dcterms:modified xsi:type="dcterms:W3CDTF">2025-11-27T08:06:06Z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b557171-d5a2-4c27-b720-d0ccc7e87f50_Enabled">
    <vt:lpwstr>true</vt:lpwstr>
  </property>
  <property fmtid="{D5CDD505-2E9C-101B-9397-08002B2CF9AE}" pid="3" name="MSIP_Label_1b557171-d5a2-4c27-b720-d0ccc7e87f50_SetDate">
    <vt:lpwstr>2025-09-02T13:33:29Z</vt:lpwstr>
  </property>
  <property fmtid="{D5CDD505-2E9C-101B-9397-08002B2CF9AE}" pid="4" name="MSIP_Label_1b557171-d5a2-4c27-b720-d0ccc7e87f50_Method">
    <vt:lpwstr>Privileged</vt:lpwstr>
  </property>
  <property fmtid="{D5CDD505-2E9C-101B-9397-08002B2CF9AE}" pid="5" name="MSIP_Label_1b557171-d5a2-4c27-b720-d0ccc7e87f50_Name">
    <vt:lpwstr>RVNA Confidential Sub_2</vt:lpwstr>
  </property>
  <property fmtid="{D5CDD505-2E9C-101B-9397-08002B2CF9AE}" pid="6" name="MSIP_Label_1b557171-d5a2-4c27-b720-d0ccc7e87f50_SiteId">
    <vt:lpwstr>87f9dc52-94b9-4266-8431-8be91e1f699c</vt:lpwstr>
  </property>
  <property fmtid="{D5CDD505-2E9C-101B-9397-08002B2CF9AE}" pid="7" name="MSIP_Label_1b557171-d5a2-4c27-b720-d0ccc7e87f50_ActionId">
    <vt:lpwstr>9560bc8f-fcd9-47ac-b9f2-f7340a6dea54</vt:lpwstr>
  </property>
  <property fmtid="{D5CDD505-2E9C-101B-9397-08002B2CF9AE}" pid="8" name="MSIP_Label_1b557171-d5a2-4c27-b720-d0ccc7e87f50_ContentBits">
    <vt:lpwstr>1</vt:lpwstr>
  </property>
  <property fmtid="{D5CDD505-2E9C-101B-9397-08002B2CF9AE}" pid="9" name="CustomUiType">
    <vt:lpwstr>2</vt:lpwstr>
  </property>
  <property fmtid="{D5CDD505-2E9C-101B-9397-08002B2CF9AE}" pid="10" name="MediaServiceImageTags">
    <vt:lpwstr/>
  </property>
  <property fmtid="{D5CDD505-2E9C-101B-9397-08002B2CF9AE}" pid="11" name="ContentTypeId">
    <vt:lpwstr>0x010100D2AE94798D0E7D4487CB84FC9A87565D</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_ExtendedDescription">
    <vt:lpwstr/>
  </property>
  <property fmtid="{D5CDD505-2E9C-101B-9397-08002B2CF9AE}" pid="16" name="TriggerFlowInfo">
    <vt:lpwstr/>
  </property>
</Properties>
</file>