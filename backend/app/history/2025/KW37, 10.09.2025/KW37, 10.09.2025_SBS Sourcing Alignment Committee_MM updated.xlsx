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37, 10.09.2025/"/>
    </mc:Choice>
  </mc:AlternateContent>
  <xr:revisionPtr revIDLastSave="1" documentId="8_{A525084B-189C-4A71-B8BE-5BE4DDFF1EA1}" xr6:coauthVersionLast="47" xr6:coauthVersionMax="47" xr10:uidLastSave="{A7661E08-F11D-441D-897D-E94A0335C34D}"/>
  <bookViews>
    <workbookView xWindow="-110" yWindow="-110" windowWidth="19420" windowHeight="10420" xr2:uid="{00000000-000D-0000-FFFF-FFFF00000000}"/>
  </bookViews>
  <sheets>
    <sheet name="KW37, 2025" sheetId="4" r:id="rId1"/>
  </sheets>
  <calcPr calcId="191029"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4" l="1"/>
  <c r="Y2" i="4"/>
  <c r="U2" i="4"/>
</calcChain>
</file>

<file path=xl/sharedStrings.xml><?xml version="1.0" encoding="utf-8"?>
<sst xmlns="http://schemas.openxmlformats.org/spreadsheetml/2006/main" count="40" uniqueCount="40">
  <si>
    <t>#</t>
  </si>
  <si>
    <t>Region</t>
  </si>
  <si>
    <t>Type</t>
  </si>
  <si>
    <t xml:space="preserve">LT Spend </t>
  </si>
  <si>
    <t>Project/ Product</t>
  </si>
  <si>
    <t>Commodity</t>
  </si>
  <si>
    <t>Presenter</t>
  </si>
  <si>
    <t>L2</t>
  </si>
  <si>
    <t>Decision Level</t>
  </si>
  <si>
    <t>Peak Year Spend</t>
  </si>
  <si>
    <t>SWAT ID / Bundle ID</t>
  </si>
  <si>
    <t>PN</t>
  </si>
  <si>
    <t>Recommended Supplier (s)</t>
  </si>
  <si>
    <t xml:space="preserve">Sourcing Decision </t>
  </si>
  <si>
    <t>Part Description</t>
  </si>
  <si>
    <t>Family part</t>
  </si>
  <si>
    <t>Notes/Task/ Resp./ Due Date</t>
  </si>
  <si>
    <t>Parent PF Code</t>
  </si>
  <si>
    <t>SPR8</t>
  </si>
  <si>
    <t>SC</t>
  </si>
  <si>
    <t>110000218518</t>
  </si>
  <si>
    <t>34119441C</t>
  </si>
  <si>
    <t>TUBE</t>
  </si>
  <si>
    <t>Haojie Ding</t>
  </si>
  <si>
    <t>2 Mio Euro</t>
  </si>
  <si>
    <t>5.96 Mio Euro</t>
  </si>
  <si>
    <t>CQA PC PRICE</t>
  </si>
  <si>
    <t>Rec. Supplier Landed</t>
  </si>
  <si>
    <t>Average Volume</t>
  </si>
  <si>
    <t>LT volume</t>
  </si>
  <si>
    <t>LT saving</t>
  </si>
  <si>
    <t xml:space="preserve">Rec. Supplier Tooling </t>
  </si>
  <si>
    <t>Average Year Saving vs CQA</t>
  </si>
  <si>
    <t>Formed Tubes
SC02002</t>
  </si>
  <si>
    <t>CQA Tooling</t>
  </si>
  <si>
    <t>Tooling Saving vs CQA</t>
  </si>
  <si>
    <t>Iron Force Poland Sp. Z.o.o.</t>
  </si>
  <si>
    <t>EU</t>
  </si>
  <si>
    <t>Approved</t>
  </si>
  <si>
    <r>
      <t xml:space="preserve">1. CO GCS only for new volume.
existing supplier Voestalpine Rotec AT for EU, Iron Force China for China.
2.  With nomination of SPR8 tube to Iron Force Poland, there will be additional benefit of improving cost for SPR4 tube.
3. Teknia NBH, not to be considered for RB tubes any more line modification.
4. With the launch of Iron Force, there is increased leverage towards </t>
    </r>
    <r>
      <rPr>
        <sz val="8"/>
        <color rgb="FFFF0000"/>
        <rFont val="Arial"/>
        <family val="2"/>
      </rPr>
      <t>Voestalpine for price improvement (negotiation planned for supplier day, Oct, CM)</t>
    </r>
    <r>
      <rPr>
        <sz val="8"/>
        <color rgb="FF000000"/>
        <rFont val="Arial"/>
        <family val="2"/>
      </rPr>
      <t xml:space="preserve">. Voestalpine has 2 lines, 8Mio capa. </t>
    </r>
    <r>
      <rPr>
        <sz val="8"/>
        <color rgb="FFFF0000"/>
        <rFont val="Arial"/>
        <family val="2"/>
      </rPr>
      <t>PFS meeting to follow up and increase share of Iron Force Poland.</t>
    </r>
    <r>
      <rPr>
        <sz val="8"/>
        <color rgb="FF000000"/>
        <rFont val="Arial"/>
        <family val="2"/>
      </rPr>
      <t xml:space="preserve">
5. </t>
    </r>
    <r>
      <rPr>
        <sz val="8"/>
        <color rgb="FFFF0000"/>
        <rFont val="Arial"/>
        <family val="2"/>
      </rPr>
      <t>CLS shall apply Iron Force Poland price for new projects acquisition.</t>
    </r>
    <r>
      <rPr>
        <sz val="8"/>
        <color rgb="FF000000"/>
        <rFont val="Arial"/>
        <family val="2"/>
      </rPr>
      <t xml:space="preserve">
6. </t>
    </r>
    <r>
      <rPr>
        <sz val="8"/>
        <color rgb="FFFF0000"/>
        <rFont val="Arial"/>
        <family val="2"/>
      </rPr>
      <t>Tooling payment 210K Euro, PM Christian in check with Stjepan, if there is any CEA booked in new projects for tube.</t>
    </r>
    <r>
      <rPr>
        <sz val="8"/>
        <color rgb="FF000000"/>
        <rFont val="Arial"/>
        <family val="2"/>
      </rPr>
      <t xml:space="preserve"> Or to proceed with MPC. Iron Force is fine with amortization. In the pc price of SWAT, there is no MPC included.
6. Any possiblity to improve or negotiate tooling cost? Was already negotiated.
7. BPG reference for Poland? BPG available, but calculated on German base, </t>
    </r>
    <r>
      <rPr>
        <sz val="8"/>
        <color rgb="FFFF0000"/>
        <rFont val="Arial"/>
        <family val="2"/>
      </rPr>
      <t>CM</t>
    </r>
    <r>
      <rPr>
        <sz val="8"/>
        <color rgb="FF000000"/>
        <rFont val="Arial"/>
        <family val="2"/>
      </rPr>
      <t xml:space="preserve"> </t>
    </r>
    <r>
      <rPr>
        <sz val="8"/>
        <color rgb="FFFF0000"/>
        <rFont val="Arial"/>
        <family val="2"/>
      </rPr>
      <t>requested CE to recalculate it.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</si>
</sst>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EUR]"/>
    <numFmt numFmtId="165" formatCode="#,##0\ [$EUR]"/>
  </numFmts>
  <fonts count="4" x14ac:knownFonts="1">
    <font>
      <sz val="11"/>
      <color theme="1"/>
      <name val="Calibri"/>
      <family val="2"/>
      <scheme val="minor"/>
    </font>
    <font>
      <sz val="8"/>
      <color rgb="FF000000"/>
      <name val="Arial"/>
      <family val="2"/>
    </font>
    <font>
      <b/>
      <sz val="8"/>
      <color rgb="FFFFFFFF"/>
      <name val="Arial"/>
      <family val="2"/>
    </font>
    <font>
      <sz val="8"/>
      <color rgb="FFFF0000"/>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4">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s>
  <cellStyleXfs count="1">
    <xf numFmtId="0" fontId="0" fillId="0" borderId="0"/>
  </cellStyleXfs>
  <cellXfs count="10">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164" fontId="1" fillId="3" borderId="3" xfId="0" quotePrefix="1" applyNumberFormat="1" applyFont="1" applyFill="1" applyBorder="1" applyAlignment="1">
      <alignment horizontal="left" vertical="center" wrapText="1" readingOrder="1"/>
    </xf>
    <xf numFmtId="3" fontId="1" fillId="3" borderId="3" xfId="0" quotePrefix="1" applyNumberFormat="1" applyFont="1" applyFill="1" applyBorder="1" applyAlignment="1">
      <alignment horizontal="left" vertical="center" wrapText="1" readingOrder="1"/>
    </xf>
    <xf numFmtId="165"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0" fontId="1" fillId="3" borderId="3" xfId="0" quotePrefix="1" applyFont="1" applyFill="1" applyBorder="1" applyAlignment="1">
      <alignment horizontal="left" vertical="top" wrapText="1" readingOrder="1"/>
    </xf>
  </cellXfs>
  <cellStyles count="1">
    <cellStyle name="Normal" xfId="0" builtinId="0"/>
  </cellStyles>
  <dxfs count="2">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sheetPr>
    <pageSetUpPr fitToPage="1"/>
  </sheetPr>
  <dimension ref="A1:Y32"/>
  <sheetViews>
    <sheetView tabSelected="1" topLeftCell="G1" zoomScale="85" zoomScaleNormal="85" workbookViewId="0">
      <selection activeCell="N2" sqref="N2"/>
    </sheetView>
  </sheetViews>
  <sheetFormatPr defaultRowHeight="14.5" x14ac:dyDescent="0.35"/>
  <cols>
    <col min="6" max="6" width="11.08984375" customWidth="1"/>
    <col min="7" max="7" width="12.453125" customWidth="1"/>
    <col min="10" max="10" width="14.36328125" customWidth="1"/>
    <col min="13" max="13" width="12" customWidth="1"/>
    <col min="14" max="14" width="10.26953125" customWidth="1"/>
    <col min="15" max="15" width="10" bestFit="1" customWidth="1"/>
    <col min="16" max="16" width="30.453125" customWidth="1"/>
    <col min="17" max="20" width="8.6328125" customWidth="1"/>
    <col min="21" max="21" width="13" customWidth="1"/>
    <col min="22" max="22" width="15.1796875" customWidth="1"/>
    <col min="23" max="23" width="8.6328125" customWidth="1"/>
    <col min="24" max="24" width="10.1796875" customWidth="1"/>
    <col min="25" max="25" width="10.54296875" customWidth="1"/>
  </cols>
  <sheetData>
    <row r="1" spans="1:25" s="1" customFormat="1" ht="42.5" customHeight="1" thickBot="1" x14ac:dyDescent="0.4">
      <c r="A1" s="3" t="s">
        <v>0</v>
      </c>
      <c r="B1" s="3" t="s">
        <v>1</v>
      </c>
      <c r="C1" s="3" t="s">
        <v>2</v>
      </c>
      <c r="D1" s="3" t="s">
        <v>4</v>
      </c>
      <c r="E1" s="3" t="s">
        <v>5</v>
      </c>
      <c r="F1" s="3" t="s">
        <v>17</v>
      </c>
      <c r="G1" s="3" t="s">
        <v>10</v>
      </c>
      <c r="H1" s="3" t="s">
        <v>14</v>
      </c>
      <c r="I1" s="3" t="s">
        <v>11</v>
      </c>
      <c r="J1" s="3" t="s">
        <v>12</v>
      </c>
      <c r="K1" s="3" t="s">
        <v>6</v>
      </c>
      <c r="L1" s="3" t="s">
        <v>8</v>
      </c>
      <c r="M1" s="3" t="s">
        <v>9</v>
      </c>
      <c r="N1" s="3" t="s">
        <v>3</v>
      </c>
      <c r="O1" s="3" t="s">
        <v>13</v>
      </c>
      <c r="P1" s="3" t="s">
        <v>16</v>
      </c>
      <c r="Q1" s="7" t="s">
        <v>26</v>
      </c>
      <c r="R1" s="7" t="s">
        <v>27</v>
      </c>
      <c r="S1" s="8" t="s">
        <v>28</v>
      </c>
      <c r="T1" s="8" t="s">
        <v>29</v>
      </c>
      <c r="U1" s="8" t="s">
        <v>32</v>
      </c>
      <c r="V1" s="8" t="s">
        <v>30</v>
      </c>
      <c r="W1" s="7" t="s">
        <v>34</v>
      </c>
      <c r="X1" s="7" t="s">
        <v>31</v>
      </c>
      <c r="Y1" s="7" t="s">
        <v>35</v>
      </c>
    </row>
    <row r="2" spans="1:25" s="1" customFormat="1" ht="294" customHeight="1" thickBot="1" x14ac:dyDescent="0.4">
      <c r="A2" s="2">
        <v>1</v>
      </c>
      <c r="B2" s="2" t="s">
        <v>37</v>
      </c>
      <c r="C2" s="2" t="s">
        <v>15</v>
      </c>
      <c r="D2" s="2" t="s">
        <v>18</v>
      </c>
      <c r="E2" s="2" t="s">
        <v>19</v>
      </c>
      <c r="F2" s="2" t="s">
        <v>33</v>
      </c>
      <c r="G2" s="2" t="s">
        <v>20</v>
      </c>
      <c r="H2" s="2" t="s">
        <v>22</v>
      </c>
      <c r="I2" s="2" t="s">
        <v>21</v>
      </c>
      <c r="J2" s="2" t="s">
        <v>36</v>
      </c>
      <c r="K2" s="2" t="s">
        <v>23</v>
      </c>
      <c r="L2" s="2" t="s">
        <v>7</v>
      </c>
      <c r="M2" s="2" t="s">
        <v>24</v>
      </c>
      <c r="N2" s="2" t="s">
        <v>25</v>
      </c>
      <c r="O2" s="2" t="s">
        <v>38</v>
      </c>
      <c r="P2" s="9" t="s">
        <v>39</v>
      </c>
      <c r="Q2" s="4">
        <v>0.84</v>
      </c>
      <c r="R2" s="4">
        <v>0.76</v>
      </c>
      <c r="S2" s="5">
        <v>1958901</v>
      </c>
      <c r="T2" s="5">
        <v>7835604</v>
      </c>
      <c r="U2" s="6">
        <f>S2*(R2-Q2)</f>
        <v>-156712.07999999993</v>
      </c>
      <c r="V2" s="6">
        <f>T2*(R2-Q2)</f>
        <v>-626848.31999999972</v>
      </c>
      <c r="W2" s="6">
        <v>0</v>
      </c>
      <c r="X2" s="6">
        <v>210000</v>
      </c>
      <c r="Y2" s="6">
        <f>(X2-W2)</f>
        <v>210000</v>
      </c>
    </row>
    <row r="3" spans="1:25" s="1" customFormat="1" ht="40" customHeight="1" thickBot="1" x14ac:dyDescent="0.4">
      <c r="A3" s="2"/>
      <c r="B3" s="2"/>
      <c r="C3" s="2"/>
      <c r="D3" s="2"/>
      <c r="E3" s="2"/>
      <c r="F3" s="2"/>
      <c r="G3" s="2"/>
      <c r="H3" s="2"/>
      <c r="I3" s="2"/>
      <c r="J3" s="2"/>
      <c r="K3" s="2"/>
      <c r="L3" s="2"/>
      <c r="M3" s="2"/>
      <c r="N3" s="2"/>
      <c r="O3" s="2"/>
      <c r="P3" s="2"/>
      <c r="Q3" s="2"/>
      <c r="R3" s="2"/>
      <c r="S3" s="2"/>
      <c r="T3" s="2"/>
      <c r="U3" s="2"/>
      <c r="V3" s="2"/>
      <c r="W3" s="2"/>
      <c r="X3" s="2"/>
      <c r="Y3" s="2"/>
    </row>
    <row r="4" spans="1:25" s="1" customFormat="1" ht="40" customHeight="1" thickBot="1" x14ac:dyDescent="0.4">
      <c r="A4" s="2"/>
      <c r="B4" s="2"/>
      <c r="C4" s="2"/>
      <c r="D4" s="2"/>
      <c r="E4" s="2"/>
      <c r="F4" s="2"/>
      <c r="G4" s="2"/>
      <c r="H4" s="2"/>
      <c r="I4" s="2"/>
      <c r="J4" s="2"/>
      <c r="K4" s="2"/>
      <c r="L4" s="2"/>
      <c r="M4" s="2"/>
      <c r="N4" s="2"/>
      <c r="O4" s="2"/>
      <c r="P4" s="2"/>
      <c r="Q4" s="2"/>
      <c r="R4" s="2"/>
      <c r="S4" s="2"/>
      <c r="T4" s="2"/>
      <c r="U4" s="2"/>
      <c r="V4" s="2"/>
      <c r="W4" s="2"/>
      <c r="X4" s="2"/>
      <c r="Y4" s="2"/>
    </row>
    <row r="5" spans="1:25" s="1" customFormat="1" ht="40" customHeight="1" thickBot="1" x14ac:dyDescent="0.4">
      <c r="A5" s="2"/>
      <c r="B5" s="2"/>
      <c r="C5" s="2"/>
      <c r="D5" s="2"/>
      <c r="E5" s="2"/>
      <c r="F5" s="2"/>
      <c r="G5" s="2"/>
      <c r="H5" s="2"/>
      <c r="I5" s="2"/>
      <c r="J5" s="2"/>
      <c r="K5" s="2"/>
      <c r="L5" s="2"/>
      <c r="M5" s="2"/>
      <c r="N5" s="2"/>
      <c r="O5" s="2"/>
      <c r="P5" s="2"/>
      <c r="Q5" s="2"/>
      <c r="R5" s="2"/>
      <c r="S5" s="2"/>
      <c r="T5" s="2"/>
      <c r="U5" s="2"/>
      <c r="V5" s="2"/>
      <c r="W5" s="2"/>
      <c r="X5" s="2"/>
      <c r="Y5" s="2"/>
    </row>
    <row r="6" spans="1:25" s="1" customFormat="1" ht="40" customHeight="1" thickBot="1" x14ac:dyDescent="0.4">
      <c r="A6" s="2"/>
      <c r="B6" s="2"/>
      <c r="C6" s="2"/>
      <c r="D6" s="2"/>
      <c r="E6" s="2"/>
      <c r="F6" s="2"/>
      <c r="G6" s="2"/>
      <c r="H6" s="2"/>
      <c r="I6" s="2"/>
      <c r="J6" s="2"/>
      <c r="K6" s="2"/>
      <c r="L6" s="2"/>
      <c r="M6" s="2"/>
      <c r="N6" s="2"/>
      <c r="O6" s="2"/>
      <c r="P6" s="2"/>
      <c r="Q6" s="2"/>
      <c r="R6" s="2"/>
      <c r="S6" s="2"/>
      <c r="T6" s="2"/>
      <c r="U6" s="2"/>
      <c r="V6" s="2"/>
      <c r="W6" s="2"/>
      <c r="X6" s="2"/>
      <c r="Y6" s="2"/>
    </row>
    <row r="7" spans="1:25" s="1" customFormat="1" ht="42.5" customHeight="1" x14ac:dyDescent="0.35"/>
    <row r="8" spans="1:25" s="1" customFormat="1" ht="42.5" customHeight="1" x14ac:dyDescent="0.35"/>
    <row r="9" spans="1:25" s="1" customFormat="1" ht="42.5" customHeight="1" x14ac:dyDescent="0.35"/>
    <row r="10" spans="1:25" s="1" customFormat="1" ht="42.5" customHeight="1" x14ac:dyDescent="0.35"/>
    <row r="11" spans="1:25" s="1" customFormat="1" ht="42.5" customHeight="1" x14ac:dyDescent="0.35"/>
    <row r="12" spans="1:25" s="1" customFormat="1" ht="42.5" customHeight="1" x14ac:dyDescent="0.35"/>
    <row r="13" spans="1:25" s="1" customFormat="1" ht="42.5" customHeight="1" x14ac:dyDescent="0.35"/>
    <row r="14" spans="1:25" s="1" customFormat="1" ht="42.5" customHeight="1" x14ac:dyDescent="0.35"/>
    <row r="15" spans="1:25" s="1" customFormat="1" ht="42.5" customHeight="1" x14ac:dyDescent="0.35"/>
    <row r="16" spans="1:25" s="1" customFormat="1" ht="42.5" customHeight="1" x14ac:dyDescent="0.35"/>
    <row r="17" s="1" customFormat="1" ht="42.5" customHeight="1" x14ac:dyDescent="0.35"/>
    <row r="18" s="1" customFormat="1" ht="42.5" customHeight="1" x14ac:dyDescent="0.35"/>
    <row r="19" s="1" customFormat="1" ht="42.5" customHeight="1" x14ac:dyDescent="0.35"/>
    <row r="20" s="1" customFormat="1" ht="42.5" customHeight="1" x14ac:dyDescent="0.35"/>
    <row r="21" s="1" customFormat="1" ht="42.5" customHeight="1" x14ac:dyDescent="0.35"/>
    <row r="22" s="1" customFormat="1" ht="42.5" customHeight="1" x14ac:dyDescent="0.35"/>
    <row r="23" s="1" customFormat="1" ht="42.5" customHeight="1" x14ac:dyDescent="0.35"/>
    <row r="24" s="1" customFormat="1" ht="42.5" customHeight="1" x14ac:dyDescent="0.35"/>
    <row r="25" s="1" customFormat="1" ht="42.5" customHeight="1" x14ac:dyDescent="0.35"/>
    <row r="26" s="1" customFormat="1" ht="42.5" customHeight="1" x14ac:dyDescent="0.35"/>
    <row r="27" s="1" customFormat="1" ht="42.5" customHeight="1" x14ac:dyDescent="0.35"/>
    <row r="28" s="1" customFormat="1" ht="42.5" customHeight="1" x14ac:dyDescent="0.35"/>
    <row r="29" s="1" customFormat="1" ht="42.5" customHeight="1" x14ac:dyDescent="0.35"/>
    <row r="30" s="1" customFormat="1" ht="42.5" customHeight="1" x14ac:dyDescent="0.35"/>
    <row r="31" s="1" customFormat="1" ht="42.5" customHeight="1" x14ac:dyDescent="0.35"/>
    <row r="32" s="1" customFormat="1" ht="42.5" customHeight="1" x14ac:dyDescent="0.35"/>
  </sheetData>
  <conditionalFormatting sqref="U1:U1048576">
    <cfRule type="cellIs" dxfId="1" priority="2" operator="lessThan">
      <formula>0</formula>
    </cfRule>
  </conditionalFormatting>
  <conditionalFormatting sqref="Y1:Y1048576">
    <cfRule type="cellIs" dxfId="0" priority="1" operator="lessThan">
      <formula>0</formula>
    </cfRule>
  </conditionalFormatting>
  <pageMargins left="0.7" right="0.7" top="0.75" bottom="0.75" header="0.3" footer="0.3"/>
  <pageSetup scale="45" fitToHeight="0" orientation="landscape"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0" ma:contentTypeDescription="Ein neues Dokument erstellen." ma:contentTypeScope="" ma:versionID="e22f6e1c6beb2f44164ee541a1cc3ef1">
  <xsd:schema xmlns:xsd="http://www.w3.org/2001/XMLSchema" xmlns:xs="http://www.w3.org/2001/XMLSchema" xmlns:p="http://schemas.microsoft.com/office/2006/metadata/properties" targetNamespace="http://schemas.microsoft.com/office/2006/metadata/properties" ma:root="true" ma:fieldsID="3b0e86e43268d7499bc47c9769927b6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70B253-44CE-45FE-B755-159FE380298A}"/>
</file>

<file path=customXml/itemProps2.xml><?xml version="1.0" encoding="utf-8"?>
<ds:datastoreItem xmlns:ds="http://schemas.openxmlformats.org/officeDocument/2006/customXml" ds:itemID="{E2493A81-2BDA-4A2F-87E4-7F98391CBE84}"/>
</file>

<file path=customXml/itemProps3.xml><?xml version="1.0" encoding="utf-8"?>
<ds:datastoreItem xmlns:ds="http://schemas.openxmlformats.org/officeDocument/2006/customXml" ds:itemID="{578EEB4D-F899-4B09-9963-24F2376B67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KW37, 2025</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2025-09-10T11:57:05Z</cp:lastPrinted>
  <dcterms:created xsi:type="dcterms:W3CDTF">2025-09-02T13:26:50Z</dcterms:created>
  <dcterms:modified xsi:type="dcterms:W3CDTF">2025-09-16T18:56:02Z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ontentTypeId">
    <vt:lpwstr>0x010100D2AE94798D0E7D4487CB84FC9A87565D</vt:lpwstr>
  </property>
</Properties>
</file>