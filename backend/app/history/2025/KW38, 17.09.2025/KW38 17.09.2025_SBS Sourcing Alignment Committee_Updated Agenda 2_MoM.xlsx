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ssivesafety-my.sharepoint.com/personal/xiangwei_chen_zf-lifetec_com/Documents/Program Purchasing RB/01. Sourcing/Sourcing Alignment Committee/KW38, 17.09.2025/"/>
    </mc:Choice>
  </mc:AlternateContent>
  <xr:revisionPtr revIDLastSave="52" documentId="8_{2D6855F5-5796-41E4-99D1-5907A9C215BC}" xr6:coauthVersionLast="47" xr6:coauthVersionMax="47" xr10:uidLastSave="{1BC9A90E-F9B5-4417-9000-0D95E83B4F09}"/>
  <bookViews>
    <workbookView xWindow="28680" yWindow="-120" windowWidth="29040" windowHeight="15720" xr2:uid="{00000000-000D-0000-FFFF-FFFF00000000}"/>
  </bookViews>
  <sheets>
    <sheet name="KW38, 2025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5" i="4" l="1"/>
  <c r="W15" i="4"/>
  <c r="V15" i="4"/>
  <c r="Z10" i="4"/>
  <c r="W10" i="4"/>
  <c r="V10" i="4"/>
  <c r="Z13" i="4"/>
  <c r="W13" i="4"/>
  <c r="V13" i="4"/>
  <c r="Z11" i="4"/>
  <c r="W11" i="4"/>
  <c r="V11" i="4"/>
  <c r="Z8" i="4"/>
  <c r="W8" i="4"/>
  <c r="V8" i="4"/>
  <c r="Z7" i="4"/>
  <c r="W7" i="4"/>
  <c r="V7" i="4"/>
  <c r="Z4" i="4"/>
  <c r="W4" i="4"/>
  <c r="V4" i="4"/>
  <c r="Z3" i="4"/>
  <c r="W3" i="4"/>
  <c r="V3" i="4"/>
  <c r="Z2" i="4"/>
  <c r="W2" i="4"/>
  <c r="V2" i="4"/>
  <c r="Z14" i="4"/>
  <c r="W14" i="4"/>
  <c r="V14" i="4"/>
  <c r="Z5" i="4"/>
  <c r="W5" i="4"/>
  <c r="V5" i="4"/>
  <c r="Z6" i="4"/>
  <c r="W6" i="4"/>
  <c r="V6" i="4"/>
  <c r="Z9" i="4"/>
  <c r="W9" i="4"/>
  <c r="V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tc={BC5725A6-84A2-4A6B-88D4-161A3D1C5CD1}</author>
    <author>tc={62FC24AA-4DDF-4D4E-9708-4D35BEAEA880}</author>
    <author>tc={B49B041D-D331-4958-B5A2-0C7CC9EF8EF2}</author>
    <author>tc={3F3271EC-D70C-4FAA-AE78-259E9A96EF33}</author>
    <author>tc={13878A19-4B82-423C-8992-3B705238A590}</author>
    <author>tc={56EA3D50-3EB6-48B0-9C09-7B84A75E3194}</author>
    <author>tc={BCED0A4B-FE51-400B-AD35-416EB7BA810C}</author>
    <author>tc={6B9B7E8B-8335-43A6-AD7B-CF91E0464587}</author>
  </authors>
  <commentList>
    <comment ref="J5" authorId="0" shapeId="0" xr:uid="{BC5725A6-84A2-4A6B-88D4-161A3D1C5C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 with current supplier, below CQA, no new tool investment
</t>
      </text>
    </comment>
    <comment ref="J6" authorId="1" shapeId="0" xr:uid="{62FC24AA-4DDF-4D4E-9708-4D35BEAEA8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 with current supplier, same pc price, no new tooling needed
</t>
      </text>
    </comment>
    <comment ref="J10" authorId="2" shapeId="0" xr:uid="{B49B041D-D331-4958-B5A2-0C7CC9EF8EF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 wait, 
LAD 25.09.2025, 
FOT 17.04.2026,
PPAP 28.08.2026, 
SOP 23.08.2027, </t>
      </text>
    </comment>
    <comment ref="J11" authorId="3" shapeId="0" xr:uid="{3F3271EC-D70C-4FAA-AE78-259E9A96EF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 with current supplier
same pc price, no new tool investment
</t>
      </text>
    </comment>
    <comment ref="J12" authorId="4" shapeId="0" xr:uid="{13878A19-4B82-423C-8992-3B705238A590}">
      <text>
        <t>[Threaded comment]
Your version of Excel allows you to read this threaded comment; however, any edits to it will get removed if the file is opened in a newer version of Excel. Learn more: https://go.microsoft.com/fwlink/?linkid=870924
Comment:
    CO with current supplier</t>
      </text>
    </comment>
    <comment ref="J13" authorId="5" shapeId="0" xr:uid="{56EA3D50-3EB6-48B0-9C09-7B84A75E31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 with current supplier
Same pc price, no new tool investment
</t>
      </text>
    </comment>
    <comment ref="J14" authorId="6" shapeId="0" xr:uid="{BCED0A4B-FE51-400B-AD35-416EB7BA81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 with current supplier
tool refurbishment
</t>
      </text>
    </comment>
    <comment ref="J15" authorId="7" shapeId="0" xr:uid="{6B9B7E8B-8335-43A6-AD7B-CF91E04645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 with current supplier
tool refurbishment
</t>
      </text>
    </comment>
  </commentList>
</comments>
</file>

<file path=xl/sharedStrings.xml><?xml version="1.0" encoding="utf-8"?>
<sst xmlns="http://schemas.openxmlformats.org/spreadsheetml/2006/main" count="209" uniqueCount="154">
  <si>
    <t>#</t>
  </si>
  <si>
    <t>Region</t>
  </si>
  <si>
    <t>Type</t>
  </si>
  <si>
    <t xml:space="preserve">LT Spend </t>
  </si>
  <si>
    <t>Project/ Product</t>
  </si>
  <si>
    <t>Commodity</t>
  </si>
  <si>
    <t>Presenter</t>
  </si>
  <si>
    <t>L2</t>
  </si>
  <si>
    <t>Decision Level</t>
  </si>
  <si>
    <t>Peak Year Spend</t>
  </si>
  <si>
    <t>SWAT ID / Bundle ID</t>
  </si>
  <si>
    <t>PN</t>
  </si>
  <si>
    <t>Recommended Supplier (s)</t>
  </si>
  <si>
    <t xml:space="preserve">Sourcing Decision </t>
  </si>
  <si>
    <t>Part Description</t>
  </si>
  <si>
    <t>Notes/Task/ Resp./ Due Date</t>
  </si>
  <si>
    <t>Parent PF Code</t>
  </si>
  <si>
    <t>CQA PC PRICE</t>
  </si>
  <si>
    <t>Rec. Supplier Landed</t>
  </si>
  <si>
    <t>Average Volume</t>
  </si>
  <si>
    <t>LT volume</t>
  </si>
  <si>
    <t>LT saving</t>
  </si>
  <si>
    <t xml:space="preserve">Rec. Supplier Tooling </t>
  </si>
  <si>
    <t>Average Year Saving vs CQA</t>
  </si>
  <si>
    <t>CQA Tooling</t>
  </si>
  <si>
    <t>Tooling Saving vs CQA</t>
  </si>
  <si>
    <t>NA</t>
  </si>
  <si>
    <t>110000031624</t>
  </si>
  <si>
    <t>A022H891B</t>
  </si>
  <si>
    <t>Vanessa Prieto</t>
  </si>
  <si>
    <t>FP</t>
  </si>
  <si>
    <t>Sandra Novegil</t>
  </si>
  <si>
    <t>L4</t>
  </si>
  <si>
    <t>GCS</t>
  </si>
  <si>
    <t>Various</t>
  </si>
  <si>
    <t>110000224514</t>
  </si>
  <si>
    <t>Lever</t>
  </si>
  <si>
    <t>Chemtech</t>
  </si>
  <si>
    <t>Alberto Martinez</t>
  </si>
  <si>
    <t>CH01014</t>
  </si>
  <si>
    <t>33032806ABL</t>
  </si>
  <si>
    <t>CA</t>
  </si>
  <si>
    <t>CA04003</t>
  </si>
  <si>
    <t>110000220444</t>
  </si>
  <si>
    <t>Pawl</t>
  </si>
  <si>
    <t>34317810B</t>
  </si>
  <si>
    <t>Dynacast</t>
  </si>
  <si>
    <t>Locking Disc</t>
  </si>
  <si>
    <t>Foehl</t>
  </si>
  <si>
    <t>SPR6.1</t>
  </si>
  <si>
    <t>EU</t>
  </si>
  <si>
    <t xml:space="preserve">Carry over </t>
  </si>
  <si>
    <t>2026 BMW G5x</t>
  </si>
  <si>
    <t>EL Electronics</t>
  </si>
  <si>
    <t>EL02002
 ECU BTP</t>
  </si>
  <si>
    <t>110000030224/
 B/2025/00130</t>
  </si>
  <si>
    <t>ECU ACR</t>
  </si>
  <si>
    <t>R000B438C</t>
  </si>
  <si>
    <t>Kimbal Electronics Romania</t>
  </si>
  <si>
    <t>Melisa Bouzo</t>
  </si>
  <si>
    <t>2,3 M€</t>
  </si>
  <si>
    <t>2027 MBAG V530</t>
  </si>
  <si>
    <t>110000031018/
 B/2025/00130</t>
  </si>
  <si>
    <t>R001V650A</t>
  </si>
  <si>
    <t>110000031071/
 B/2025/00130</t>
  </si>
  <si>
    <t>A029C814D</t>
  </si>
  <si>
    <t>3,6 M€</t>
  </si>
  <si>
    <t>STLA / DJ / RP+ Extension Program</t>
  </si>
  <si>
    <t xml:space="preserve">Chemical MP Color Part </t>
  </si>
  <si>
    <t>CH0101604 Medium Precision colored parts</t>
  </si>
  <si>
    <t>110000032445 / B/2025/00195</t>
  </si>
  <si>
    <t xml:space="preserve">Cover </t>
  </si>
  <si>
    <t xml:space="preserve">33042560C </t>
  </si>
  <si>
    <t>Staamp S.r.l</t>
  </si>
  <si>
    <t>110000032446 / B/2025/00195</t>
  </si>
  <si>
    <t>33042561C</t>
  </si>
  <si>
    <t>New Part</t>
  </si>
  <si>
    <t>V326E Rear Belts</t>
  </si>
  <si>
    <t>SC Stamping</t>
  </si>
  <si>
    <t>SC06003</t>
  </si>
  <si>
    <t>Buckle Bracket</t>
  </si>
  <si>
    <t>R002P856C</t>
  </si>
  <si>
    <t>Suzhou Cheersson Precision Industry</t>
  </si>
  <si>
    <t>Mateusz Drożdż</t>
  </si>
  <si>
    <t>L3</t>
  </si>
  <si>
    <t>131,4K€</t>
  </si>
  <si>
    <t>865,6K €</t>
  </si>
  <si>
    <t>Anchor Bracket</t>
  </si>
  <si>
    <t>R002P858C</t>
  </si>
  <si>
    <t>945,5K €</t>
  </si>
  <si>
    <t>34235240B</t>
  </si>
  <si>
    <t>Konfektion</t>
  </si>
  <si>
    <t>Alba Guerra</t>
  </si>
  <si>
    <t>R002W778A</t>
  </si>
  <si>
    <t>Eclipse</t>
  </si>
  <si>
    <t>T1XX-2 SUV</t>
  </si>
  <si>
    <t>34156005A</t>
  </si>
  <si>
    <t>Guide</t>
  </si>
  <si>
    <t>CH01016</t>
  </si>
  <si>
    <t>Cover - Outer</t>
  </si>
  <si>
    <t>Webbing Guide</t>
  </si>
  <si>
    <t>5k</t>
  </si>
  <si>
    <t>Carryover</t>
  </si>
  <si>
    <t>LEVER</t>
  </si>
  <si>
    <t>34142827D</t>
  </si>
  <si>
    <t>ACE mold</t>
  </si>
  <si>
    <t>143,5K €</t>
  </si>
  <si>
    <t>59K €</t>
  </si>
  <si>
    <t>390K Euro</t>
  </si>
  <si>
    <t>1,6 M€</t>
  </si>
  <si>
    <t>9K USD</t>
  </si>
  <si>
    <t>64K USD</t>
  </si>
  <si>
    <t>CO with current supplier</t>
  </si>
  <si>
    <t>5K USD</t>
  </si>
  <si>
    <t>38K USD</t>
  </si>
  <si>
    <t>14K USD</t>
  </si>
  <si>
    <t>98K USD</t>
  </si>
  <si>
    <t>43K USD</t>
  </si>
  <si>
    <t>Family part, Carryover</t>
  </si>
  <si>
    <t>15 M€</t>
  </si>
  <si>
    <t>8,6 M€</t>
  </si>
  <si>
    <t>24 M€</t>
  </si>
  <si>
    <t>Comment</t>
  </si>
  <si>
    <t>CO with current supplier
Same pc price, no new tool investment</t>
  </si>
  <si>
    <t>CO with current supplier
same pc price, no new tool investment</t>
  </si>
  <si>
    <t xml:space="preserve">Can wait, 
LAD 25.09.2025, 
FOT 17.04.2026,
PPAP 28.08.2026, 
SOP 23.08.2027, </t>
  </si>
  <si>
    <t>CO with current supplier, 
below CQA, no new tool investment</t>
  </si>
  <si>
    <t>Volvo V326 Front Belts</t>
  </si>
  <si>
    <t>Family part
Carryover</t>
  </si>
  <si>
    <t xml:space="preserve">Carryover </t>
  </si>
  <si>
    <t>41K €</t>
  </si>
  <si>
    <t>80.4K €</t>
  </si>
  <si>
    <t>74K USD</t>
  </si>
  <si>
    <t>586K USD</t>
  </si>
  <si>
    <t>3.42M €</t>
  </si>
  <si>
    <t>488k €</t>
  </si>
  <si>
    <t>CO with current supplier,
same pc price, tool refurbishment 21K USD</t>
  </si>
  <si>
    <t>CO with current supplier, 
same pc price, no new tool investment</t>
  </si>
  <si>
    <t>692K €</t>
  </si>
  <si>
    <t>102K €</t>
  </si>
  <si>
    <t>CQA based on ITW 8-cav price from 10+ years ago.  Current volumes only require 4-cav.</t>
  </si>
  <si>
    <t>Approved</t>
  </si>
  <si>
    <t>Conditionally Approved</t>
  </si>
  <si>
    <t xml:space="preserve">Request made to add additional supplier quote to summary.
Combination of semi-automatic and automatic lines provide volume flexibiilty to prevent potential supplier volume claims. </t>
  </si>
  <si>
    <t>1. Instruct CE to update BPG - M. Bouzo.  CW41
2. Reinforce need to graduate out of EL1 status during F2F Vigo visit -M. Bouzo.  CW41</t>
  </si>
  <si>
    <t>1. Add correct logistics cost to SDS for recommended supplier - V. Prieto.  CW40
2. Document plan to reach USMCA compliance - Family Group.  CW41
3. Challenge Foehl on global footprint - W. Li.  CW46.</t>
  </si>
  <si>
    <t>1. Correct "Supplier #3" price to be USD equivalent of 45,76 euro</t>
  </si>
  <si>
    <t>Supplier rejects consignment per Anna Swistak</t>
  </si>
  <si>
    <t>1. Confirm CQA basis - Summer Chen.  CW38.  (Markus approves once complete)</t>
  </si>
  <si>
    <t>n/a</t>
  </si>
  <si>
    <t>Rejected.</t>
  </si>
  <si>
    <t>Ran out of time.  
1. Reply offline to CP email confirming recommended supplier meets PFS strategy and CQA - C. Wang.  CW38</t>
  </si>
  <si>
    <t>1. Present latest ITW strategy to R. Strebl to determine if ITW HDH can be a viable option for this sourcing.  - K. Kaycsa.  CW39.</t>
  </si>
  <si>
    <t>1. Review global volume FC to determine, for example, if Konfektion should continue supplying AP. - A. Vannatter.  CW39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</si>
</sst>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EUR]"/>
    <numFmt numFmtId="165" formatCode="#,##0\ [$EUR]"/>
  </numFmts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3E11"/>
        <bgColor indexed="64"/>
      </patternFill>
    </fill>
    <fill>
      <patternFill patternType="solid">
        <fgColor rgb="FFF6CECC"/>
        <bgColor indexed="64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theme="0"/>
      </left>
      <right style="medium">
        <color rgb="FFFFFFFF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rgb="FFFFFFFF"/>
      </left>
      <right style="medium">
        <color theme="0"/>
      </right>
      <top style="medium">
        <color theme="0"/>
      </top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rgb="FFFFFFFF"/>
      </left>
      <right style="medium">
        <color theme="0"/>
      </right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1" fillId="3" borderId="3" xfId="0" quotePrefix="1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164" fontId="1" fillId="3" borderId="3" xfId="0" quotePrefix="1" applyNumberFormat="1" applyFont="1" applyFill="1" applyBorder="1" applyAlignment="1">
      <alignment horizontal="left" vertical="center" wrapText="1" readingOrder="1"/>
    </xf>
    <xf numFmtId="3" fontId="1" fillId="3" borderId="3" xfId="0" quotePrefix="1" applyNumberFormat="1" applyFont="1" applyFill="1" applyBorder="1" applyAlignment="1">
      <alignment horizontal="left" vertical="center" wrapText="1" readingOrder="1"/>
    </xf>
    <xf numFmtId="165" fontId="1" fillId="3" borderId="3" xfId="0" quotePrefix="1" applyNumberFormat="1" applyFont="1" applyFill="1" applyBorder="1" applyAlignment="1">
      <alignment horizontal="left" vertical="center" wrapText="1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2" fillId="4" borderId="2" xfId="0" applyFont="1" applyFill="1" applyBorder="1" applyAlignment="1">
      <alignment horizontal="left" vertical="center" wrapText="1" readingOrder="1"/>
    </xf>
    <xf numFmtId="0" fontId="1" fillId="3" borderId="3" xfId="0" quotePrefix="1" applyFont="1" applyFill="1" applyBorder="1" applyAlignment="1">
      <alignment horizontal="left" vertical="top" wrapText="1" readingOrder="1"/>
    </xf>
    <xf numFmtId="0" fontId="1" fillId="3" borderId="3" xfId="0" quotePrefix="1" applyFont="1" applyFill="1" applyBorder="1" applyAlignment="1">
      <alignment horizontal="center" vertical="center" wrapText="1" readingOrder="1"/>
    </xf>
    <xf numFmtId="0" fontId="1" fillId="3" borderId="7" xfId="0" quotePrefix="1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wrapText="1" readingOrder="1"/>
    </xf>
    <xf numFmtId="0" fontId="1" fillId="3" borderId="7" xfId="0" quotePrefix="1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" fontId="1" fillId="3" borderId="3" xfId="0" quotePrefix="1" applyNumberFormat="1" applyFont="1" applyFill="1" applyBorder="1" applyAlignment="1">
      <alignment horizontal="left" vertical="center" wrapText="1" readingOrder="1"/>
    </xf>
    <xf numFmtId="0" fontId="1" fillId="3" borderId="11" xfId="0" quotePrefix="1" applyFont="1" applyFill="1" applyBorder="1" applyAlignment="1">
      <alignment horizontal="left" vertical="center" wrapText="1" readingOrder="1"/>
    </xf>
    <xf numFmtId="0" fontId="1" fillId="3" borderId="4" xfId="0" quotePrefix="1" applyFont="1" applyFill="1" applyBorder="1" applyAlignment="1">
      <alignment horizontal="left" vertical="center" wrapText="1" readingOrder="1"/>
    </xf>
    <xf numFmtId="0" fontId="1" fillId="3" borderId="6" xfId="0" quotePrefix="1" applyFont="1" applyFill="1" applyBorder="1" applyAlignment="1">
      <alignment horizontal="left" vertical="center" wrapText="1" readingOrder="1"/>
    </xf>
    <xf numFmtId="0" fontId="1" fillId="3" borderId="8" xfId="0" quotePrefix="1" applyFont="1" applyFill="1" applyBorder="1" applyAlignment="1">
      <alignment horizontal="left" vertical="center" wrapText="1" readingOrder="1"/>
    </xf>
    <xf numFmtId="0" fontId="1" fillId="3" borderId="10" xfId="0" quotePrefix="1" applyFont="1" applyFill="1" applyBorder="1" applyAlignment="1">
      <alignment horizontal="left" vertical="center" wrapText="1" readingOrder="1"/>
    </xf>
    <xf numFmtId="0" fontId="1" fillId="3" borderId="4" xfId="0" quotePrefix="1" applyFont="1" applyFill="1" applyBorder="1" applyAlignment="1">
      <alignment horizontal="center" vertical="center" wrapText="1" readingOrder="1"/>
    </xf>
    <xf numFmtId="0" fontId="1" fillId="3" borderId="6" xfId="0" quotePrefix="1" applyFont="1" applyFill="1" applyBorder="1" applyAlignment="1">
      <alignment horizontal="center" vertical="center" wrapText="1" readingOrder="1"/>
    </xf>
    <xf numFmtId="0" fontId="1" fillId="3" borderId="9" xfId="0" quotePrefix="1" applyFont="1" applyFill="1" applyBorder="1" applyAlignment="1">
      <alignment horizontal="left" vertical="center" wrapText="1" readingOrder="1"/>
    </xf>
    <xf numFmtId="0" fontId="1" fillId="3" borderId="5" xfId="0" quotePrefix="1" applyFont="1" applyFill="1" applyBorder="1" applyAlignment="1">
      <alignment horizontal="left" vertical="center" wrapText="1" readingOrder="1"/>
    </xf>
    <xf numFmtId="0" fontId="1" fillId="3" borderId="5" xfId="0" quotePrefix="1" applyFont="1" applyFill="1" applyBorder="1" applyAlignment="1">
      <alignment horizontal="center" vertical="center" wrapText="1" readingOrder="1"/>
    </xf>
    <xf numFmtId="0" fontId="1" fillId="3" borderId="8" xfId="0" quotePrefix="1" applyFont="1" applyFill="1" applyBorder="1" applyAlignment="1">
      <alignment horizontal="center" vertical="center" wrapText="1" readingOrder="1"/>
    </xf>
    <xf numFmtId="0" fontId="1" fillId="3" borderId="9" xfId="0" quotePrefix="1" applyFont="1" applyFill="1" applyBorder="1" applyAlignment="1">
      <alignment horizontal="center" vertical="center" wrapText="1" readingOrder="1"/>
    </xf>
    <xf numFmtId="0" fontId="1" fillId="3" borderId="10" xfId="0" quotePrefix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Xiangwei Chen ALF RPSBE1" id="{6EB2C5E6-4D3C-4637-9849-E5EB5DCED248}" userId="S::xiangwei.chen@zf-lifetec.com::23759faa-b675-4288-af44-d36df42352b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5" dT="2025-09-16T19:11:43.82" personId="{6EB2C5E6-4D3C-4637-9849-E5EB5DCED248}" id="{BC5725A6-84A2-4A6B-88D4-161A3D1C5CD1}">
    <text xml:space="preserve">CO with current supplier, below CQA, no new tool investment
</text>
  </threadedComment>
  <threadedComment ref="J6" dT="2025-09-16T19:08:59.22" personId="{6EB2C5E6-4D3C-4637-9849-E5EB5DCED248}" id="{62FC24AA-4DDF-4D4E-9708-4D35BEAEA880}">
    <text xml:space="preserve">CO with current supplier, same pc price, no new tooling needed
</text>
  </threadedComment>
  <threadedComment ref="J10" dT="2025-09-16T18:56:40.40" personId="{6EB2C5E6-4D3C-4637-9849-E5EB5DCED248}" id="{B49B041D-D331-4958-B5A2-0C7CC9EF8EF2}">
    <text xml:space="preserve">Can wait, 
LAD 25.09.2025, 
FOT 17.04.2026,
PPAP 28.08.2026, 
SOP 23.08.2027, </text>
  </threadedComment>
  <threadedComment ref="J11" dT="2025-09-16T18:44:13.33" personId="{6EB2C5E6-4D3C-4637-9849-E5EB5DCED248}" id="{3F3271EC-D70C-4FAA-AE78-259E9A96EF33}">
    <text xml:space="preserve">CO with current supplier
same pc price, no new tool investment
</text>
  </threadedComment>
  <threadedComment ref="J12" dT="2025-09-16T18:54:27.57" personId="{6EB2C5E6-4D3C-4637-9849-E5EB5DCED248}" id="{13878A19-4B82-423C-8992-3B705238A590}">
    <text>CO with current supplier</text>
  </threadedComment>
  <threadedComment ref="J13" dT="2025-09-16T18:44:59.85" personId="{6EB2C5E6-4D3C-4637-9849-E5EB5DCED248}" id="{56EA3D50-3EB6-48B0-9C09-7B84A75E3194}">
    <text xml:space="preserve">CO with current supplier
Same pc price, no new tool investment
</text>
  </threadedComment>
  <threadedComment ref="J14" dT="2025-09-16T18:58:40.55" personId="{6EB2C5E6-4D3C-4637-9849-E5EB5DCED248}" id="{BCED0A4B-FE51-400B-AD35-416EB7BA810C}">
    <text xml:space="preserve">CO with current supplier
tool refurbishment
</text>
  </threadedComment>
  <threadedComment ref="J15" dT="2025-09-16T19:00:22.25" personId="{6EB2C5E6-4D3C-4637-9849-E5EB5DCED248}" id="{6B9B7E8B-8335-43A6-AD7B-CF91E0464587}">
    <text xml:space="preserve">CO with current supplier
tool refurbishment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1669-4D19-42D8-86BB-E55FDF20445A}">
  <sheetPr>
    <pageSetUpPr fitToPage="1"/>
  </sheetPr>
  <dimension ref="A1:Z41"/>
  <sheetViews>
    <sheetView tabSelected="1" zoomScaleNormal="100" workbookViewId="0">
      <pane ySplit="1" topLeftCell="A2" activePane="bottomLeft" state="frozen"/>
      <selection pane="bottomLeft" activeCell="O2" sqref="O2:O4"/>
    </sheetView>
  </sheetViews>
  <sheetFormatPr defaultRowHeight="14.5" x14ac:dyDescent="0.35"/>
  <cols>
    <col min="1" max="1" width="6.6328125" style="14" customWidth="1"/>
    <col min="2" max="2" width="7.81640625" style="18" customWidth="1"/>
    <col min="3" max="3" width="10.54296875" style="18" customWidth="1"/>
    <col min="4" max="4" width="17.81640625" style="18" customWidth="1"/>
    <col min="5" max="5" width="10.453125" style="18" customWidth="1"/>
    <col min="6" max="6" width="11.08984375" style="18" customWidth="1"/>
    <col min="7" max="7" width="14.08984375" style="18" customWidth="1"/>
    <col min="8" max="8" width="15.81640625" style="18" customWidth="1"/>
    <col min="9" max="9" width="12.08984375" style="18" customWidth="1"/>
    <col min="10" max="10" width="14.36328125" style="18" customWidth="1"/>
    <col min="11" max="11" width="17.1796875" style="18" customWidth="1"/>
    <col min="12" max="12" width="8.90625" style="18"/>
    <col min="13" max="13" width="12" style="18" customWidth="1"/>
    <col min="14" max="14" width="10.1796875" style="18" customWidth="1"/>
    <col min="15" max="15" width="32.54296875" style="18" customWidth="1"/>
    <col min="16" max="16" width="10" bestFit="1" customWidth="1"/>
    <col min="17" max="17" width="30.453125" customWidth="1"/>
    <col min="18" max="21" width="8.6328125" customWidth="1"/>
    <col min="22" max="22" width="13" customWidth="1"/>
    <col min="23" max="23" width="15.1796875" customWidth="1"/>
    <col min="24" max="24" width="8.6328125" customWidth="1"/>
    <col min="25" max="25" width="10.1796875" customWidth="1"/>
    <col min="26" max="26" width="10.54296875" customWidth="1"/>
  </cols>
  <sheetData>
    <row r="1" spans="1:26" s="1" customFormat="1" ht="42.5" customHeight="1" thickBot="1" x14ac:dyDescent="0.4">
      <c r="A1" s="12" t="s">
        <v>0</v>
      </c>
      <c r="B1" s="15" t="s">
        <v>1</v>
      </c>
      <c r="C1" s="15" t="s">
        <v>2</v>
      </c>
      <c r="D1" s="15" t="s">
        <v>4</v>
      </c>
      <c r="E1" s="15" t="s">
        <v>5</v>
      </c>
      <c r="F1" s="15" t="s">
        <v>16</v>
      </c>
      <c r="G1" s="15" t="s">
        <v>10</v>
      </c>
      <c r="H1" s="15" t="s">
        <v>14</v>
      </c>
      <c r="I1" s="15" t="s">
        <v>11</v>
      </c>
      <c r="J1" s="15" t="s">
        <v>12</v>
      </c>
      <c r="K1" s="15" t="s">
        <v>6</v>
      </c>
      <c r="L1" s="15" t="s">
        <v>8</v>
      </c>
      <c r="M1" s="15" t="s">
        <v>9</v>
      </c>
      <c r="N1" s="15" t="s">
        <v>3</v>
      </c>
      <c r="O1" s="15" t="s">
        <v>122</v>
      </c>
      <c r="P1" s="3" t="s">
        <v>13</v>
      </c>
      <c r="Q1" s="3" t="s">
        <v>15</v>
      </c>
      <c r="R1" s="7" t="s">
        <v>17</v>
      </c>
      <c r="S1" s="7" t="s">
        <v>18</v>
      </c>
      <c r="T1" s="8" t="s">
        <v>19</v>
      </c>
      <c r="U1" s="8" t="s">
        <v>20</v>
      </c>
      <c r="V1" s="8" t="s">
        <v>23</v>
      </c>
      <c r="W1" s="8" t="s">
        <v>21</v>
      </c>
      <c r="X1" s="7" t="s">
        <v>24</v>
      </c>
      <c r="Y1" s="7" t="s">
        <v>22</v>
      </c>
      <c r="Z1" s="7" t="s">
        <v>25</v>
      </c>
    </row>
    <row r="2" spans="1:26" s="1" customFormat="1" ht="20.5" thickBot="1" x14ac:dyDescent="0.4">
      <c r="A2" s="25">
        <v>1</v>
      </c>
      <c r="B2" s="21" t="s">
        <v>50</v>
      </c>
      <c r="C2" s="21" t="s">
        <v>102</v>
      </c>
      <c r="D2" s="2" t="s">
        <v>52</v>
      </c>
      <c r="E2" s="23" t="s">
        <v>53</v>
      </c>
      <c r="F2" s="21" t="s">
        <v>54</v>
      </c>
      <c r="G2" s="2" t="s">
        <v>55</v>
      </c>
      <c r="H2" s="23" t="s">
        <v>56</v>
      </c>
      <c r="I2" s="2" t="s">
        <v>57</v>
      </c>
      <c r="J2" s="23" t="s">
        <v>58</v>
      </c>
      <c r="K2" s="21" t="s">
        <v>59</v>
      </c>
      <c r="L2" s="21" t="s">
        <v>7</v>
      </c>
      <c r="M2" s="2" t="s">
        <v>60</v>
      </c>
      <c r="N2" s="2" t="s">
        <v>119</v>
      </c>
      <c r="O2" s="30" t="s">
        <v>143</v>
      </c>
      <c r="P2" s="2" t="s">
        <v>141</v>
      </c>
      <c r="Q2" s="23" t="s">
        <v>144</v>
      </c>
      <c r="R2" s="4">
        <v>9.9400000000000002E-2</v>
      </c>
      <c r="S2" s="4">
        <v>9.2899999999999996E-2</v>
      </c>
      <c r="T2" s="5">
        <v>158567</v>
      </c>
      <c r="U2" s="5">
        <v>1585668</v>
      </c>
      <c r="V2" s="6">
        <f t="shared" ref="V2:V9" si="0">T2*(S2-R2)</f>
        <v>-1030.685500000001</v>
      </c>
      <c r="W2" s="6">
        <f t="shared" ref="W2:W9" si="1">U2*(S2-R2)</f>
        <v>-10306.84200000001</v>
      </c>
      <c r="X2" s="6">
        <v>0</v>
      </c>
      <c r="Y2" s="6">
        <v>0</v>
      </c>
      <c r="Z2" s="6">
        <f t="shared" ref="Z2:Z9" si="2">(Y2-X2)</f>
        <v>0</v>
      </c>
    </row>
    <row r="3" spans="1:26" s="1" customFormat="1" ht="21" customHeight="1" thickBot="1" x14ac:dyDescent="0.4">
      <c r="A3" s="29"/>
      <c r="B3" s="28"/>
      <c r="C3" s="28"/>
      <c r="D3" s="2" t="s">
        <v>61</v>
      </c>
      <c r="E3" s="27"/>
      <c r="F3" s="28"/>
      <c r="G3" s="2" t="s">
        <v>62</v>
      </c>
      <c r="H3" s="27"/>
      <c r="I3" s="2" t="s">
        <v>63</v>
      </c>
      <c r="J3" s="27"/>
      <c r="K3" s="28"/>
      <c r="L3" s="28"/>
      <c r="M3" s="2" t="s">
        <v>109</v>
      </c>
      <c r="N3" s="2" t="s">
        <v>120</v>
      </c>
      <c r="O3" s="31"/>
      <c r="P3" s="2" t="s">
        <v>141</v>
      </c>
      <c r="Q3" s="27"/>
      <c r="R3" s="4">
        <v>0.114</v>
      </c>
      <c r="S3" s="4">
        <v>9.5600000000000004E-2</v>
      </c>
      <c r="T3" s="5">
        <v>127347</v>
      </c>
      <c r="U3" s="5">
        <v>891430</v>
      </c>
      <c r="V3" s="6">
        <f t="shared" si="0"/>
        <v>-2343.1848</v>
      </c>
      <c r="W3" s="6">
        <f t="shared" si="1"/>
        <v>-16402.311999999998</v>
      </c>
      <c r="X3" s="6">
        <v>0</v>
      </c>
      <c r="Y3" s="6">
        <v>0</v>
      </c>
      <c r="Z3" s="6">
        <f t="shared" si="2"/>
        <v>0</v>
      </c>
    </row>
    <row r="4" spans="1:26" s="1" customFormat="1" ht="21" customHeight="1" thickBot="1" x14ac:dyDescent="0.4">
      <c r="A4" s="26"/>
      <c r="B4" s="22"/>
      <c r="C4" s="22"/>
      <c r="D4" s="2" t="s">
        <v>127</v>
      </c>
      <c r="E4" s="24"/>
      <c r="F4" s="22"/>
      <c r="G4" s="2" t="s">
        <v>64</v>
      </c>
      <c r="H4" s="24"/>
      <c r="I4" s="2" t="s">
        <v>65</v>
      </c>
      <c r="J4" s="24"/>
      <c r="K4" s="22"/>
      <c r="L4" s="22"/>
      <c r="M4" s="2" t="s">
        <v>66</v>
      </c>
      <c r="N4" s="2" t="s">
        <v>121</v>
      </c>
      <c r="O4" s="32"/>
      <c r="P4" s="2" t="s">
        <v>141</v>
      </c>
      <c r="Q4" s="24"/>
      <c r="R4" s="4">
        <v>0.10349999999999999</v>
      </c>
      <c r="S4" s="4">
        <v>0.95699999999999996</v>
      </c>
      <c r="T4" s="5">
        <v>308270</v>
      </c>
      <c r="U4" s="5">
        <v>2466162</v>
      </c>
      <c r="V4" s="6">
        <f t="shared" si="0"/>
        <v>263108.44499999995</v>
      </c>
      <c r="W4" s="6">
        <f t="shared" si="1"/>
        <v>2104869.267</v>
      </c>
      <c r="X4" s="6">
        <v>0</v>
      </c>
      <c r="Y4" s="6">
        <v>0</v>
      </c>
      <c r="Z4" s="6">
        <f t="shared" si="2"/>
        <v>0</v>
      </c>
    </row>
    <row r="5" spans="1:26" s="1" customFormat="1" ht="67.75" customHeight="1" thickBot="1" x14ac:dyDescent="0.4">
      <c r="A5" s="11">
        <v>2</v>
      </c>
      <c r="B5" s="2" t="s">
        <v>26</v>
      </c>
      <c r="C5" s="2" t="s">
        <v>128</v>
      </c>
      <c r="D5" s="2" t="s">
        <v>49</v>
      </c>
      <c r="E5" s="2" t="s">
        <v>41</v>
      </c>
      <c r="F5" s="2" t="s">
        <v>42</v>
      </c>
      <c r="G5" s="2" t="s">
        <v>27</v>
      </c>
      <c r="H5" s="2" t="s">
        <v>47</v>
      </c>
      <c r="I5" s="2" t="s">
        <v>28</v>
      </c>
      <c r="J5" s="2" t="s">
        <v>48</v>
      </c>
      <c r="K5" s="2" t="s">
        <v>29</v>
      </c>
      <c r="L5" s="2" t="s">
        <v>7</v>
      </c>
      <c r="M5" s="2" t="s">
        <v>135</v>
      </c>
      <c r="N5" s="2" t="s">
        <v>134</v>
      </c>
      <c r="O5" s="2" t="s">
        <v>126</v>
      </c>
      <c r="P5" s="2" t="s">
        <v>141</v>
      </c>
      <c r="Q5" s="2" t="s">
        <v>145</v>
      </c>
      <c r="R5" s="4">
        <v>0.62</v>
      </c>
      <c r="S5" s="4">
        <v>0.3</v>
      </c>
      <c r="T5" s="5">
        <v>1068308</v>
      </c>
      <c r="U5" s="5">
        <v>9614770</v>
      </c>
      <c r="V5" s="6">
        <f>T5*(S5-R5)</f>
        <v>-341858.56</v>
      </c>
      <c r="W5" s="6">
        <f>U5*(S5-R5)</f>
        <v>-3076726.4</v>
      </c>
      <c r="X5" s="6">
        <v>0</v>
      </c>
      <c r="Y5" s="6">
        <v>0</v>
      </c>
      <c r="Z5" s="6">
        <f>(Y5-X5)</f>
        <v>0</v>
      </c>
    </row>
    <row r="6" spans="1:26" s="1" customFormat="1" ht="40.75" customHeight="1" thickBot="1" x14ac:dyDescent="0.4">
      <c r="A6" s="11">
        <v>3</v>
      </c>
      <c r="B6" s="2" t="s">
        <v>26</v>
      </c>
      <c r="C6" s="2" t="s">
        <v>118</v>
      </c>
      <c r="D6" s="2"/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46</v>
      </c>
      <c r="K6" s="2" t="s">
        <v>29</v>
      </c>
      <c r="L6" s="2" t="s">
        <v>32</v>
      </c>
      <c r="M6" s="2" t="s">
        <v>139</v>
      </c>
      <c r="N6" s="2" t="s">
        <v>138</v>
      </c>
      <c r="O6" s="2" t="s">
        <v>137</v>
      </c>
      <c r="P6" s="2" t="s">
        <v>141</v>
      </c>
      <c r="Q6" s="2" t="s">
        <v>146</v>
      </c>
      <c r="R6" s="4">
        <v>4.4999999999999998E-2</v>
      </c>
      <c r="S6" s="4">
        <v>4.4999999999999998E-2</v>
      </c>
      <c r="T6" s="5">
        <v>1924855</v>
      </c>
      <c r="U6" s="5">
        <v>15398840</v>
      </c>
      <c r="V6" s="6">
        <f>T6*(S6-R6)</f>
        <v>0</v>
      </c>
      <c r="W6" s="6">
        <f>U6*(S6-R6)</f>
        <v>0</v>
      </c>
      <c r="X6" s="6">
        <v>0</v>
      </c>
      <c r="Y6" s="6">
        <v>0</v>
      </c>
      <c r="Z6" s="6">
        <f>(Y6-X6)</f>
        <v>0</v>
      </c>
    </row>
    <row r="7" spans="1:26" s="1" customFormat="1" ht="28.75" customHeight="1" thickBot="1" x14ac:dyDescent="0.4">
      <c r="A7" s="25">
        <v>4</v>
      </c>
      <c r="B7" s="21" t="s">
        <v>50</v>
      </c>
      <c r="C7" s="21" t="s">
        <v>76</v>
      </c>
      <c r="D7" s="21" t="s">
        <v>77</v>
      </c>
      <c r="E7" s="21" t="s">
        <v>78</v>
      </c>
      <c r="F7" s="21" t="s">
        <v>79</v>
      </c>
      <c r="G7" s="19">
        <v>110000032080</v>
      </c>
      <c r="H7" s="2" t="s">
        <v>80</v>
      </c>
      <c r="I7" s="2" t="s">
        <v>81</v>
      </c>
      <c r="J7" s="23" t="s">
        <v>82</v>
      </c>
      <c r="K7" s="21" t="s">
        <v>83</v>
      </c>
      <c r="L7" s="21" t="s">
        <v>84</v>
      </c>
      <c r="M7" s="2" t="s">
        <v>85</v>
      </c>
      <c r="N7" s="2" t="s">
        <v>86</v>
      </c>
      <c r="O7" s="30" t="s">
        <v>147</v>
      </c>
      <c r="P7" s="25" t="s">
        <v>142</v>
      </c>
      <c r="Q7" s="21" t="s">
        <v>148</v>
      </c>
      <c r="R7" s="4">
        <v>0.03</v>
      </c>
      <c r="S7" s="4">
        <v>2.342E-2</v>
      </c>
      <c r="T7" s="5">
        <v>462030</v>
      </c>
      <c r="U7" s="5">
        <v>3996243</v>
      </c>
      <c r="V7" s="6">
        <f t="shared" si="0"/>
        <v>-3040.1573999999996</v>
      </c>
      <c r="W7" s="6">
        <f t="shared" si="1"/>
        <v>-26295.278939999997</v>
      </c>
      <c r="X7" s="6">
        <v>0</v>
      </c>
      <c r="Y7" s="6">
        <v>0</v>
      </c>
      <c r="Z7" s="6">
        <f t="shared" si="2"/>
        <v>0</v>
      </c>
    </row>
    <row r="8" spans="1:26" s="1" customFormat="1" ht="21" customHeight="1" thickBot="1" x14ac:dyDescent="0.4">
      <c r="A8" s="26"/>
      <c r="B8" s="22"/>
      <c r="C8" s="22"/>
      <c r="D8" s="22"/>
      <c r="E8" s="22"/>
      <c r="F8" s="22"/>
      <c r="G8" s="19">
        <v>110000032082</v>
      </c>
      <c r="H8" s="2" t="s">
        <v>87</v>
      </c>
      <c r="I8" s="2" t="s">
        <v>88</v>
      </c>
      <c r="J8" s="24"/>
      <c r="K8" s="22"/>
      <c r="L8" s="22"/>
      <c r="M8" s="2" t="s">
        <v>106</v>
      </c>
      <c r="N8" s="2" t="s">
        <v>89</v>
      </c>
      <c r="O8" s="32"/>
      <c r="P8" s="26"/>
      <c r="Q8" s="22"/>
      <c r="R8" s="4">
        <v>7.0000000000000007E-2</v>
      </c>
      <c r="S8" s="4">
        <v>7.6740000000000003E-2</v>
      </c>
      <c r="T8" s="5">
        <v>154010</v>
      </c>
      <c r="U8" s="5">
        <v>1232081</v>
      </c>
      <c r="V8" s="6">
        <f t="shared" si="0"/>
        <v>1038.0273999999995</v>
      </c>
      <c r="W8" s="6">
        <f t="shared" si="1"/>
        <v>8304.2259399999948</v>
      </c>
      <c r="X8" s="6">
        <v>0</v>
      </c>
      <c r="Y8" s="6">
        <v>0</v>
      </c>
      <c r="Z8" s="6">
        <f t="shared" si="2"/>
        <v>0</v>
      </c>
    </row>
    <row r="9" spans="1:26" s="1" customFormat="1" ht="21" customHeight="1" thickBot="1" x14ac:dyDescent="0.4">
      <c r="A9" s="11">
        <v>5</v>
      </c>
      <c r="B9" s="2" t="s">
        <v>26</v>
      </c>
      <c r="C9" s="2" t="s">
        <v>33</v>
      </c>
      <c r="D9" s="2" t="s">
        <v>34</v>
      </c>
      <c r="E9" s="2" t="s">
        <v>30</v>
      </c>
      <c r="F9" s="2" t="s">
        <v>39</v>
      </c>
      <c r="G9" s="2" t="s">
        <v>35</v>
      </c>
      <c r="H9" s="2" t="s">
        <v>36</v>
      </c>
      <c r="I9" s="2" t="s">
        <v>40</v>
      </c>
      <c r="J9" s="2" t="s">
        <v>37</v>
      </c>
      <c r="K9" s="2" t="s">
        <v>38</v>
      </c>
      <c r="L9" s="2" t="s">
        <v>32</v>
      </c>
      <c r="M9" s="2" t="s">
        <v>130</v>
      </c>
      <c r="N9" s="2" t="s">
        <v>131</v>
      </c>
      <c r="O9" s="2" t="s">
        <v>140</v>
      </c>
      <c r="P9" s="2" t="s">
        <v>141</v>
      </c>
      <c r="Q9" s="9"/>
      <c r="R9" s="4">
        <v>0.12</v>
      </c>
      <c r="S9" s="4">
        <v>0.23</v>
      </c>
      <c r="T9" s="5">
        <v>85977</v>
      </c>
      <c r="U9" s="5">
        <v>343908</v>
      </c>
      <c r="V9" s="6">
        <f t="shared" si="0"/>
        <v>9457.4700000000012</v>
      </c>
      <c r="W9" s="6">
        <f t="shared" si="1"/>
        <v>37829.880000000005</v>
      </c>
      <c r="X9" s="6">
        <v>0</v>
      </c>
      <c r="Y9" s="6">
        <v>0</v>
      </c>
      <c r="Z9" s="6">
        <f t="shared" si="2"/>
        <v>0</v>
      </c>
    </row>
    <row r="10" spans="1:26" s="1" customFormat="1" ht="54.5" customHeight="1" thickBot="1" x14ac:dyDescent="0.4">
      <c r="A10" s="11">
        <v>6</v>
      </c>
      <c r="B10" s="16" t="s">
        <v>26</v>
      </c>
      <c r="C10" s="16" t="s">
        <v>76</v>
      </c>
      <c r="D10" s="16" t="s">
        <v>95</v>
      </c>
      <c r="E10" s="16" t="s">
        <v>30</v>
      </c>
      <c r="F10" s="16" t="s">
        <v>98</v>
      </c>
      <c r="G10" s="19">
        <v>110000032311</v>
      </c>
      <c r="H10" s="2" t="s">
        <v>100</v>
      </c>
      <c r="I10" s="2" t="s">
        <v>93</v>
      </c>
      <c r="J10" s="20" t="s">
        <v>94</v>
      </c>
      <c r="K10" s="16" t="s">
        <v>92</v>
      </c>
      <c r="L10" s="16" t="s">
        <v>32</v>
      </c>
      <c r="M10" s="2" t="s">
        <v>132</v>
      </c>
      <c r="N10" s="2" t="s">
        <v>133</v>
      </c>
      <c r="O10" s="2" t="s">
        <v>125</v>
      </c>
      <c r="P10" s="2" t="s">
        <v>141</v>
      </c>
      <c r="Q10" s="2"/>
      <c r="R10" s="4">
        <v>0.19</v>
      </c>
      <c r="S10" s="4">
        <v>0.1</v>
      </c>
      <c r="T10" s="5">
        <v>666000</v>
      </c>
      <c r="U10" s="5">
        <v>5328000</v>
      </c>
      <c r="V10" s="6">
        <f>T10*(S10-R10)</f>
        <v>-59940</v>
      </c>
      <c r="W10" s="6">
        <f>U10*(S10-R10)</f>
        <v>-479520</v>
      </c>
      <c r="X10" s="6">
        <v>0</v>
      </c>
      <c r="Y10" s="6">
        <v>0</v>
      </c>
      <c r="Z10" s="6">
        <f>(Y10-X10)</f>
        <v>0</v>
      </c>
    </row>
    <row r="11" spans="1:26" s="1" customFormat="1" ht="44.4" customHeight="1" thickBot="1" x14ac:dyDescent="0.4">
      <c r="A11" s="11">
        <v>7</v>
      </c>
      <c r="B11" s="16" t="s">
        <v>50</v>
      </c>
      <c r="C11" s="16" t="s">
        <v>51</v>
      </c>
      <c r="D11" s="16" t="s">
        <v>77</v>
      </c>
      <c r="E11" s="16" t="s">
        <v>30</v>
      </c>
      <c r="F11" s="16" t="s">
        <v>98</v>
      </c>
      <c r="G11" s="19">
        <v>110000032888</v>
      </c>
      <c r="H11" s="2" t="s">
        <v>97</v>
      </c>
      <c r="I11" s="2" t="s">
        <v>90</v>
      </c>
      <c r="J11" s="20" t="s">
        <v>91</v>
      </c>
      <c r="K11" s="16" t="s">
        <v>92</v>
      </c>
      <c r="L11" s="16" t="s">
        <v>32</v>
      </c>
      <c r="M11" s="2" t="s">
        <v>107</v>
      </c>
      <c r="N11" s="2" t="s">
        <v>108</v>
      </c>
      <c r="O11" s="2" t="s">
        <v>124</v>
      </c>
      <c r="P11" s="2" t="s">
        <v>141</v>
      </c>
      <c r="Q11" s="2" t="s">
        <v>153</v>
      </c>
      <c r="R11" s="4">
        <v>0.11310000000000001</v>
      </c>
      <c r="S11" s="4">
        <v>0.113</v>
      </c>
      <c r="T11" s="5">
        <v>344983</v>
      </c>
      <c r="U11" s="5">
        <v>3449826</v>
      </c>
      <c r="V11" s="6">
        <f>T11*(S11-R11)</f>
        <v>-34.498300000000988</v>
      </c>
      <c r="W11" s="6">
        <f>U11*(S11-R11)</f>
        <v>-344.98260000000988</v>
      </c>
      <c r="X11" s="6">
        <v>0</v>
      </c>
      <c r="Y11" s="6">
        <v>0</v>
      </c>
      <c r="Z11" s="6">
        <f>(Y11-X11)</f>
        <v>0</v>
      </c>
    </row>
    <row r="12" spans="1:26" s="1" customFormat="1" ht="22" customHeight="1" thickBot="1" x14ac:dyDescent="0.4">
      <c r="A12" s="11">
        <v>8</v>
      </c>
      <c r="B12" s="16" t="s">
        <v>26</v>
      </c>
      <c r="C12" s="16" t="s">
        <v>102</v>
      </c>
      <c r="D12" s="16" t="s">
        <v>95</v>
      </c>
      <c r="E12" s="16" t="s">
        <v>30</v>
      </c>
      <c r="F12" s="16" t="s">
        <v>98</v>
      </c>
      <c r="G12" s="19">
        <v>110000031331</v>
      </c>
      <c r="H12" s="2" t="s">
        <v>103</v>
      </c>
      <c r="I12" s="2" t="s">
        <v>104</v>
      </c>
      <c r="J12" s="20" t="s">
        <v>105</v>
      </c>
      <c r="K12" s="16" t="s">
        <v>92</v>
      </c>
      <c r="L12" s="16" t="s">
        <v>32</v>
      </c>
      <c r="M12" s="2" t="s">
        <v>110</v>
      </c>
      <c r="N12" s="2" t="s">
        <v>111</v>
      </c>
      <c r="O12" s="2" t="s">
        <v>112</v>
      </c>
      <c r="P12" s="2" t="s">
        <v>150</v>
      </c>
      <c r="Q12" s="2" t="s">
        <v>152</v>
      </c>
      <c r="R12" s="4"/>
      <c r="S12" s="4"/>
      <c r="T12" s="5"/>
      <c r="U12" s="5"/>
      <c r="V12" s="6"/>
      <c r="W12" s="6"/>
      <c r="X12" s="6"/>
      <c r="Y12" s="6"/>
      <c r="Z12" s="6"/>
    </row>
    <row r="13" spans="1:26" s="1" customFormat="1" ht="22" customHeight="1" thickBot="1" x14ac:dyDescent="0.4">
      <c r="A13" s="11">
        <v>9</v>
      </c>
      <c r="B13" s="16" t="s">
        <v>26</v>
      </c>
      <c r="C13" s="16" t="s">
        <v>102</v>
      </c>
      <c r="D13" s="16" t="s">
        <v>95</v>
      </c>
      <c r="E13" s="16" t="s">
        <v>30</v>
      </c>
      <c r="F13" s="16" t="s">
        <v>98</v>
      </c>
      <c r="G13" s="19">
        <v>110000031807</v>
      </c>
      <c r="H13" s="2" t="s">
        <v>99</v>
      </c>
      <c r="I13" s="2" t="s">
        <v>96</v>
      </c>
      <c r="J13" s="20" t="s">
        <v>37</v>
      </c>
      <c r="K13" s="16" t="s">
        <v>92</v>
      </c>
      <c r="L13" s="16" t="s">
        <v>32</v>
      </c>
      <c r="M13" s="2" t="s">
        <v>113</v>
      </c>
      <c r="N13" s="2" t="s">
        <v>114</v>
      </c>
      <c r="O13" s="2" t="s">
        <v>123</v>
      </c>
      <c r="P13" s="2" t="s">
        <v>141</v>
      </c>
      <c r="Q13" s="2"/>
      <c r="R13" s="4">
        <v>0.06</v>
      </c>
      <c r="S13" s="4">
        <v>0.06</v>
      </c>
      <c r="T13" s="5">
        <v>77251</v>
      </c>
      <c r="U13" s="5">
        <v>540757</v>
      </c>
      <c r="V13" s="6">
        <f>T13*(S13-R13)</f>
        <v>0</v>
      </c>
      <c r="W13" s="6">
        <f>U13*(S13-R13)</f>
        <v>0</v>
      </c>
      <c r="X13" s="6">
        <v>0</v>
      </c>
      <c r="Y13" s="6">
        <v>0</v>
      </c>
      <c r="Z13" s="6">
        <f>(Y13-X13)</f>
        <v>0</v>
      </c>
    </row>
    <row r="14" spans="1:26" s="1" customFormat="1" ht="45" customHeight="1" thickBot="1" x14ac:dyDescent="0.4">
      <c r="A14" s="11">
        <v>10</v>
      </c>
      <c r="B14" s="2" t="s">
        <v>26</v>
      </c>
      <c r="C14" s="2" t="s">
        <v>102</v>
      </c>
      <c r="D14" s="2" t="s">
        <v>67</v>
      </c>
      <c r="E14" s="2" t="s">
        <v>68</v>
      </c>
      <c r="F14" s="2" t="s">
        <v>69</v>
      </c>
      <c r="G14" s="19" t="s">
        <v>70</v>
      </c>
      <c r="H14" s="2" t="s">
        <v>71</v>
      </c>
      <c r="I14" s="2" t="s">
        <v>72</v>
      </c>
      <c r="J14" s="2" t="s">
        <v>73</v>
      </c>
      <c r="K14" s="2" t="s">
        <v>31</v>
      </c>
      <c r="L14" s="2" t="s">
        <v>32</v>
      </c>
      <c r="M14" s="2" t="s">
        <v>101</v>
      </c>
      <c r="N14" s="2" t="s">
        <v>117</v>
      </c>
      <c r="O14" s="2" t="s">
        <v>136</v>
      </c>
      <c r="P14" s="2" t="s">
        <v>149</v>
      </c>
      <c r="Q14" s="2" t="s">
        <v>151</v>
      </c>
      <c r="R14" s="4">
        <v>0.10045</v>
      </c>
      <c r="S14" s="4">
        <v>0.10045</v>
      </c>
      <c r="T14" s="5">
        <v>42779</v>
      </c>
      <c r="U14" s="5">
        <v>385013</v>
      </c>
      <c r="V14" s="6">
        <f>T14*(S14-R14)</f>
        <v>0</v>
      </c>
      <c r="W14" s="6">
        <f>U14*(S14-R14)</f>
        <v>0</v>
      </c>
      <c r="X14" s="6">
        <v>0</v>
      </c>
      <c r="Y14" s="6">
        <v>0</v>
      </c>
      <c r="Z14" s="6">
        <f>(Y14-X14)</f>
        <v>0</v>
      </c>
    </row>
    <row r="15" spans="1:26" s="1" customFormat="1" ht="41.5" customHeight="1" thickBot="1" x14ac:dyDescent="0.4">
      <c r="A15" s="11">
        <v>11</v>
      </c>
      <c r="B15" s="2" t="s">
        <v>26</v>
      </c>
      <c r="C15" s="2" t="s">
        <v>129</v>
      </c>
      <c r="D15" s="2" t="s">
        <v>67</v>
      </c>
      <c r="E15" s="2" t="s">
        <v>68</v>
      </c>
      <c r="F15" s="2" t="s">
        <v>69</v>
      </c>
      <c r="G15" s="19" t="s">
        <v>74</v>
      </c>
      <c r="H15" s="2" t="s">
        <v>71</v>
      </c>
      <c r="I15" s="2" t="s">
        <v>75</v>
      </c>
      <c r="J15" s="2" t="s">
        <v>73</v>
      </c>
      <c r="K15" s="2" t="s">
        <v>31</v>
      </c>
      <c r="L15" s="2" t="s">
        <v>32</v>
      </c>
      <c r="M15" s="2" t="s">
        <v>115</v>
      </c>
      <c r="N15" s="2" t="s">
        <v>116</v>
      </c>
      <c r="O15" s="2" t="s">
        <v>136</v>
      </c>
      <c r="P15" s="2" t="s">
        <v>149</v>
      </c>
      <c r="Q15" s="2" t="s">
        <v>151</v>
      </c>
      <c r="R15" s="4">
        <v>0.10045</v>
      </c>
      <c r="S15" s="4">
        <v>0.10045</v>
      </c>
      <c r="T15" s="5">
        <v>99036</v>
      </c>
      <c r="U15" s="5">
        <v>891326</v>
      </c>
      <c r="V15" s="6">
        <f>T15*(S15-R15)</f>
        <v>0</v>
      </c>
      <c r="W15" s="6">
        <f>U15*(S15-R15)</f>
        <v>0</v>
      </c>
      <c r="X15" s="6">
        <v>0</v>
      </c>
      <c r="Y15" s="6">
        <v>0</v>
      </c>
      <c r="Z15" s="6">
        <f>(Y15-X15)</f>
        <v>0</v>
      </c>
    </row>
    <row r="16" spans="1:26" s="1" customFormat="1" ht="20" customHeight="1" thickBot="1" x14ac:dyDescent="0.4">
      <c r="A16" s="10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15" s="1" customFormat="1" ht="42.5" customHeight="1" x14ac:dyDescent="0.35">
      <c r="A17" s="13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pans="1:15" s="1" customFormat="1" ht="42.5" customHeight="1" x14ac:dyDescent="0.35">
      <c r="A18" s="13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1:15" s="1" customFormat="1" ht="42.5" customHeight="1" x14ac:dyDescent="0.35">
      <c r="A19" s="13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15" s="1" customFormat="1" ht="42.5" customHeight="1" x14ac:dyDescent="0.35">
      <c r="A20" s="13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15" s="1" customFormat="1" ht="42.5" customHeight="1" x14ac:dyDescent="0.35">
      <c r="A21" s="13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pans="1:15" s="1" customFormat="1" ht="42.5" customHeight="1" x14ac:dyDescent="0.35">
      <c r="A22" s="13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15" s="1" customFormat="1" ht="42.5" customHeight="1" x14ac:dyDescent="0.35">
      <c r="A23" s="13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1:15" s="1" customFormat="1" ht="42.5" customHeight="1" x14ac:dyDescent="0.35">
      <c r="A24" s="13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s="1" customFormat="1" ht="42.5" customHeight="1" x14ac:dyDescent="0.35">
      <c r="A25" s="13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15" s="1" customFormat="1" ht="42.5" customHeight="1" x14ac:dyDescent="0.35">
      <c r="A26" s="13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15" s="1" customFormat="1" ht="42.5" customHeight="1" x14ac:dyDescent="0.35">
      <c r="A27" s="13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1:15" s="1" customFormat="1" ht="42.5" customHeight="1" x14ac:dyDescent="0.35">
      <c r="A28" s="13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pans="1:15" s="1" customFormat="1" ht="42.5" customHeight="1" x14ac:dyDescent="0.35">
      <c r="A29" s="13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spans="1:15" s="1" customFormat="1" ht="42.5" customHeight="1" x14ac:dyDescent="0.35">
      <c r="A30" s="13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5" s="1" customFormat="1" ht="42.5" customHeight="1" x14ac:dyDescent="0.35">
      <c r="A31" s="13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s="1" customFormat="1" ht="42.5" customHeight="1" x14ac:dyDescent="0.35">
      <c r="A32" s="13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1:15" s="1" customFormat="1" ht="42.5" customHeight="1" x14ac:dyDescent="0.35">
      <c r="A33" s="13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spans="1:15" s="1" customFormat="1" ht="42.5" customHeight="1" x14ac:dyDescent="0.35">
      <c r="A34" s="13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s="1" customFormat="1" ht="42.5" customHeight="1" x14ac:dyDescent="0.35">
      <c r="A35" s="13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1:15" s="1" customFormat="1" ht="42.5" customHeight="1" x14ac:dyDescent="0.35">
      <c r="A36" s="13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5" s="1" customFormat="1" ht="42.5" customHeight="1" x14ac:dyDescent="0.35">
      <c r="A37" s="13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 spans="1:15" s="1" customFormat="1" ht="42.5" customHeight="1" x14ac:dyDescent="0.35">
      <c r="A38" s="13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spans="1:15" s="1" customFormat="1" ht="42.5" customHeight="1" x14ac:dyDescent="0.35">
      <c r="A39" s="13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</row>
    <row r="40" spans="1:15" s="1" customFormat="1" ht="42.5" customHeight="1" x14ac:dyDescent="0.35">
      <c r="A40" s="13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</row>
    <row r="41" spans="1:15" s="1" customFormat="1" ht="42.5" customHeight="1" x14ac:dyDescent="0.35">
      <c r="A41" s="13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</sheetData>
  <mergeCells count="23">
    <mergeCell ref="Q2:Q4"/>
    <mergeCell ref="O2:O4"/>
    <mergeCell ref="O7:O8"/>
    <mergeCell ref="P7:P8"/>
    <mergeCell ref="Q7:Q8"/>
    <mergeCell ref="J2:J4"/>
    <mergeCell ref="K2:K4"/>
    <mergeCell ref="L2:L4"/>
    <mergeCell ref="A2:A4"/>
    <mergeCell ref="B2:B4"/>
    <mergeCell ref="C2:C4"/>
    <mergeCell ref="E2:E4"/>
    <mergeCell ref="F2:F4"/>
    <mergeCell ref="H2:H4"/>
    <mergeCell ref="F7:F8"/>
    <mergeCell ref="J7:J8"/>
    <mergeCell ref="K7:K8"/>
    <mergeCell ref="L7:L8"/>
    <mergeCell ref="A7:A8"/>
    <mergeCell ref="B7:B8"/>
    <mergeCell ref="C7:C8"/>
    <mergeCell ref="D7:D8"/>
    <mergeCell ref="E7:E8"/>
  </mergeCells>
  <conditionalFormatting sqref="V1:V1048576 Z1:Z1048576">
    <cfRule type="cellIs" dxfId="0" priority="1" operator="lessThan">
      <formula>0</formula>
    </cfRule>
  </conditionalFormatting>
  <pageMargins left="0.7" right="0.7" top="0.75" bottom="0.75" header="0.3" footer="0.3"/>
  <pageSetup paperSize="17" scale="59" fitToHeight="0" orientation="landscape" r:id="rId1"/>
  <customProperties>
    <customPr name="_pios_id" r:id="rId2"/>
  </customProperties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AE94798D0E7D4487CB84FC9A87565D" ma:contentTypeVersion="0" ma:contentTypeDescription="Ein neues Dokument erstellen." ma:contentTypeScope="" ma:versionID="e22f6e1c6beb2f44164ee541a1cc3ef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b0e86e43268d7499bc47c9769927b6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C46715-194C-4BDD-ADA2-5B6B3F15B9B3}"/>
</file>

<file path=customXml/itemProps2.xml><?xml version="1.0" encoding="utf-8"?>
<ds:datastoreItem xmlns:ds="http://schemas.openxmlformats.org/officeDocument/2006/customXml" ds:itemID="{223187D6-F556-4429-8A50-CC5F5AF21807}"/>
</file>

<file path=customXml/itemProps3.xml><?xml version="1.0" encoding="utf-8"?>
<ds:datastoreItem xmlns:ds="http://schemas.openxmlformats.org/officeDocument/2006/customXml" ds:itemID="{C859D15D-393C-4071-A1CA-7EB2B73999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KW38, 2025</vt:lpstr>
    </vt:vector>
  </TitlesOfParts>
  <Company>RVNA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Xiangwei Chen ALF RPSBE1</dc:creator>
  <cp:lastModifiedBy>Xiangwei Chen ALF RPSBE1</cp:lastModifiedBy>
  <cp:lastPrinted>2025-09-17T11:24:14Z</cp:lastPrinted>
  <dcterms:created xsi:type="dcterms:W3CDTF">2025-09-02T13:26:50Z</dcterms:created>
  <dcterms:modified xsi:type="dcterms:W3CDTF">2025-10-08T09:44:36Z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57171-d5a2-4c27-b720-d0ccc7e87f50_Enabled">
    <vt:lpwstr>true</vt:lpwstr>
  </property>
  <property fmtid="{D5CDD505-2E9C-101B-9397-08002B2CF9AE}" pid="3" name="MSIP_Label_1b557171-d5a2-4c27-b720-d0ccc7e87f50_SetDate">
    <vt:lpwstr>2025-09-02T13:33:29Z</vt:lpwstr>
  </property>
  <property fmtid="{D5CDD505-2E9C-101B-9397-08002B2CF9AE}" pid="4" name="MSIP_Label_1b557171-d5a2-4c27-b720-d0ccc7e87f50_Method">
    <vt:lpwstr>Privileged</vt:lpwstr>
  </property>
  <property fmtid="{D5CDD505-2E9C-101B-9397-08002B2CF9AE}" pid="5" name="MSIP_Label_1b557171-d5a2-4c27-b720-d0ccc7e87f50_Name">
    <vt:lpwstr>RVNA Confidential Sub_2</vt:lpwstr>
  </property>
  <property fmtid="{D5CDD505-2E9C-101B-9397-08002B2CF9AE}" pid="6" name="MSIP_Label_1b557171-d5a2-4c27-b720-d0ccc7e87f50_SiteId">
    <vt:lpwstr>87f9dc52-94b9-4266-8431-8be91e1f699c</vt:lpwstr>
  </property>
  <property fmtid="{D5CDD505-2E9C-101B-9397-08002B2CF9AE}" pid="7" name="MSIP_Label_1b557171-d5a2-4c27-b720-d0ccc7e87f50_ActionId">
    <vt:lpwstr>9560bc8f-fcd9-47ac-b9f2-f7340a6dea54</vt:lpwstr>
  </property>
  <property fmtid="{D5CDD505-2E9C-101B-9397-08002B2CF9AE}" pid="8" name="MSIP_Label_1b557171-d5a2-4c27-b720-d0ccc7e87f50_ContentBits">
    <vt:lpwstr>1</vt:lpwstr>
  </property>
  <property fmtid="{D5CDD505-2E9C-101B-9397-08002B2CF9AE}" pid="9" name="CustomUiType">
    <vt:lpwstr>2</vt:lpwstr>
  </property>
  <property fmtid="{D5CDD505-2E9C-101B-9397-08002B2CF9AE}" pid="10" name="ContentTypeId">
    <vt:lpwstr>0x010100D2AE94798D0E7D4487CB84FC9A87565D</vt:lpwstr>
  </property>
</Properties>
</file>