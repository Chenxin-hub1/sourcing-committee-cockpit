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2026/Sourcing Alignment meeting/KW24, 10.06.2026/"/>
    </mc:Choice>
  </mc:AlternateContent>
  <xr:revisionPtr revIDLastSave="84" documentId="8_{6B0A0F2A-0756-4D46-9EEB-BF740B0327E0}" xr6:coauthVersionLast="47" xr6:coauthVersionMax="47" xr10:uidLastSave="{62EB311B-01D8-4236-A597-E2DD376D4CE5}"/>
  <bookViews>
    <workbookView xWindow="28680" yWindow="-120" windowWidth="29040" windowHeight="15720" xr2:uid="{00000000-000D-0000-FFFF-FFFF00000000}"/>
  </bookViews>
  <sheets>
    <sheet name="KW24, 2026"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4" l="1"/>
  <c r="W3" i="4"/>
  <c r="V3" i="4"/>
  <c r="W4" i="4"/>
  <c r="V4" i="4"/>
  <c r="Z4" i="4"/>
  <c r="W2" i="4"/>
  <c r="V2" i="4"/>
  <c r="Z6" i="4"/>
  <c r="W6" i="4"/>
  <c r="V6" i="4"/>
  <c r="Z5" i="4"/>
  <c r="W5" i="4"/>
  <c r="V5" i="4"/>
  <c r="Z2" i="4" l="1"/>
</calcChain>
</file>

<file path=xl/sharedStrings.xml><?xml version="1.0" encoding="utf-8"?>
<sst xmlns="http://schemas.openxmlformats.org/spreadsheetml/2006/main" count="113" uniqueCount="93">
  <si>
    <t>#</t>
  </si>
  <si>
    <t>Region</t>
  </si>
  <si>
    <t>Type</t>
  </si>
  <si>
    <t xml:space="preserve">LT Spend </t>
  </si>
  <si>
    <t>Project/ Product</t>
  </si>
  <si>
    <t>Commodity</t>
  </si>
  <si>
    <t>Presenter</t>
  </si>
  <si>
    <t>Decision Level</t>
  </si>
  <si>
    <t>Peak Year Spend</t>
  </si>
  <si>
    <t>SWAT ID / Bundle ID</t>
  </si>
  <si>
    <t>PN</t>
  </si>
  <si>
    <t>Recommended Supplier (s)</t>
  </si>
  <si>
    <t xml:space="preserve">Sourcing Decision </t>
  </si>
  <si>
    <t>Part Description</t>
  </si>
  <si>
    <t>Notes/Task/ Resp./ Due Date</t>
  </si>
  <si>
    <t>Parent PF Code</t>
  </si>
  <si>
    <t>CQA PC PRICE</t>
  </si>
  <si>
    <t>Rec. Supplier Landed</t>
  </si>
  <si>
    <t>Average Volume</t>
  </si>
  <si>
    <t>LT volume</t>
  </si>
  <si>
    <t>LT saving</t>
  </si>
  <si>
    <t xml:space="preserve">Rec. Supplier Tooling </t>
  </si>
  <si>
    <t>Average Year Saving vs CQA</t>
  </si>
  <si>
    <t>CQA Tooling</t>
  </si>
  <si>
    <t>Tooling Saving vs CQA</t>
  </si>
  <si>
    <t>Comment</t>
  </si>
  <si>
    <t>AP</t>
  </si>
  <si>
    <t>L2</t>
  </si>
  <si>
    <t>GCS</t>
  </si>
  <si>
    <t>MI01</t>
  </si>
  <si>
    <t>Micro gas generator</t>
  </si>
  <si>
    <t>Shaanxi Qinghua Vehicle Safety Systems</t>
  </si>
  <si>
    <t>Marzena Janus</t>
  </si>
  <si>
    <t>1,42 EUR/pc
11,2 RMB/pc</t>
  </si>
  <si>
    <t>SPR8 MGG
AP locallisation</t>
  </si>
  <si>
    <t>5,52 Mio EUR
44 Mio RMB</t>
  </si>
  <si>
    <t>17,2 Mio EUR
136 Mio RMB</t>
  </si>
  <si>
    <t>1,08 EUR/pc
8,55 RMB/pc</t>
  </si>
  <si>
    <t>NA</t>
  </si>
  <si>
    <t>Power Snake</t>
  </si>
  <si>
    <t>A024W219B</t>
  </si>
  <si>
    <t>ALBERTO MARTINEZ</t>
  </si>
  <si>
    <t>Same case was closed in 2025 awarding it to Alfdorf. Now intention is to have it local</t>
  </si>
  <si>
    <t>SPR 6.1
NCAR, R2, T1 SUV, T2 SUV</t>
  </si>
  <si>
    <t>Prism México, S. de R.L. de C.V.</t>
  </si>
  <si>
    <t>228K Euro
251K USD</t>
  </si>
  <si>
    <t>1,60 Mio Euro
1,76 Mio USD</t>
  </si>
  <si>
    <t>0,11464 Euro/pc
0,12610 USD/pc</t>
  </si>
  <si>
    <t>0,16645 Euro/pc
0,18309 USD/pc</t>
  </si>
  <si>
    <t>109,091 Euro
120,000 USD</t>
  </si>
  <si>
    <t>144,056 Euro
158,462 USD</t>
  </si>
  <si>
    <t>SPR6.1 NCAR, R2, T1 SUV, T2 SUV</t>
  </si>
  <si>
    <t>CH01 Functional Plastics</t>
  </si>
  <si>
    <t>CH01016 Medium Precision</t>
  </si>
  <si>
    <t>COVER, RETR. SPRING-SIDE</t>
  </si>
  <si>
    <t>A027K012B</t>
  </si>
  <si>
    <t>Wilko Plastics, Inc.</t>
  </si>
  <si>
    <t>Alba Guerra Gómez</t>
  </si>
  <si>
    <t>L3</t>
  </si>
  <si>
    <t>1,27Mio Euro 1,39Mio USD</t>
  </si>
  <si>
    <t>CH01014
High Precision</t>
  </si>
  <si>
    <t>MI01003
Micro Gas Generators (MGG)</t>
  </si>
  <si>
    <t>114545 Euro
126000 USD</t>
  </si>
  <si>
    <t>0,115 Euro/pc
0,12332 USD/pc</t>
  </si>
  <si>
    <t>0,132 Euro/pc
0,13178 USD/pc</t>
  </si>
  <si>
    <t>134636 Euro
148100 USD</t>
  </si>
  <si>
    <t>CO GCS</t>
  </si>
  <si>
    <t>181K Euro
199K USD</t>
  </si>
  <si>
    <t>Carry Over</t>
  </si>
  <si>
    <t>T1XX-2 SUV</t>
  </si>
  <si>
    <t>SC06</t>
  </si>
  <si>
    <t>34295246A</t>
  </si>
  <si>
    <t>Proto Gage</t>
  </si>
  <si>
    <t>Wendy Li</t>
  </si>
  <si>
    <t>34282553A</t>
  </si>
  <si>
    <t>SC06003
Cut&amp;Bend|Medium|Passenger Cars</t>
  </si>
  <si>
    <t>299K Euro
329K USD</t>
  </si>
  <si>
    <t>2,09Mio Euro
2,3Mio USD</t>
  </si>
  <si>
    <t>0,9455 Euro/pc
1,04 USD/pc</t>
  </si>
  <si>
    <t>0,94 Euro/pc
1,034 USD/pc</t>
  </si>
  <si>
    <t>297K Euro
327K USD</t>
  </si>
  <si>
    <t>2,97 Mio Euro
3,27 Mio USD</t>
  </si>
  <si>
    <t>0,9450 Euro/pc
1,0395 USD/pc</t>
  </si>
  <si>
    <t>0,9345 Euro/pc
1,028 USD/pc</t>
  </si>
  <si>
    <t>U Bracket</t>
  </si>
  <si>
    <t>A023Y217A
AP PN tbd</t>
  </si>
  <si>
    <t>Approved</t>
  </si>
  <si>
    <t>CO with current supplier Protogage, leveraged Protogage to lower pc price with alternative supplier offers and no need for tooling investment.</t>
  </si>
  <si>
    <t xml:space="preserve">7Mio RMB investment will be charged back by supplier Qinghua, in case 20Mio pc.s not achieved winthin 6 years
</t>
  </si>
  <si>
    <t>1. USMCA localization target 0,10 Euro/pc (EX rate 1,17) to be filled in as CQA, instead of current supplier price-- PP Dawid
2. To double check RM and folllow up as VAVE action, previous quoted RM vs current PIR listed RM: delta impact 0,029 Euro/pc --PP Dawid with Family 6 team
3. PM will check and get the tooling budget -- Thomas
4. To do the communication with NA Application team to clarify the USMCA target, which parts are going to be localized, under which budget, which tooling budget will be needed to be prepared to excecute the USMCA localization. --PP Dawid M. with Family 6 team.</t>
  </si>
  <si>
    <t xml:space="preserve">1. To double check the SPR8 MGG AP T/RT/C volume, our confidence level of reaching 20Mio pcs over next 6 year for AP.
Volume was worked out and shared by Family PM Christian based on M4C 3.0 2025. Should be fine to reach this agreed volume.
2. Index available for RM? 
Agreement available for Gold 130, included in the quotation. 
3. Further potential to improve the price?
Target is 1 Euro, 7.8 RMB/pc.
To share BPG and QAF details to check further potentials to lower pc price. -- CM Marzena with CE Raymon.
Update the BPG slide to show the most updated one.-- CM Marzena with CE Raymon.
To check which components are made inhouse by Qinghua, which ones are to be purchased e.g. the fineblanking washer from Chengtai.
Injection molding: Qinghua 4 Cavity, ZF inhouse 16 cavity. Currently Qinghua has small injection machines.
Qinghua quote based on local propellant, based on their own ignitor production.
4. To workout a VAVE project switch plan. -- Frankie/Channy
VAVE plan is available, approved in AP CCB.
RT&amp;T volume should be good enough to ramp up Qinghua
Need to pay attention to the potential commercial impact on the current EU suppleir.
</t>
  </si>
  <si>
    <t>Localization strategy in NA requested by the Local team Approval for the UMSCA scenario provided by the local program team + the executive management team</t>
  </si>
  <si>
    <t>1. Can PM help getting tooling budget?
120K Euro was the approved USMCA localization tooling budget.
With 158,462 USD we are above the budget, but PM to find a way to fund it. -- Thomas R.
2. To understand BPG cost or should cost -- CE CM
Alfdorf 16 cav, Prism 8 cavity
EU local material vs NA local material, specific material
3. USMCA localization target 0,17 Euro/pc (EX rate 1,17)  to be filled in as CQA--PP Dawid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</si>
</sst>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0\ [$€-407];\-#,##0\ [$€-407]"/>
    <numFmt numFmtId="165" formatCode="_([$€-2]\ * #,##0.00_);_([$€-2]\ * \(#,##0.00\);_([$€-2]\ * &quot;-&quot;??_);_(@_)"/>
    <numFmt numFmtId="166" formatCode="#,##0\ &quot;€&quot;"/>
    <numFmt numFmtId="167" formatCode="_(&quot;$&quot;* #,##0_);_(&quot;$&quot;* \(#,##0\);_(&quot;$&quot;* &quot;-&quot;??_);_(@_)"/>
  </numFmts>
  <fonts count="8" x14ac:knownFonts="1">
    <font>
      <sz val="11"/>
      <color theme="1"/>
      <name val="Calibri"/>
      <family val="2"/>
      <scheme val="minor"/>
    </font>
    <font>
      <sz val="8"/>
      <color rgb="FF000000"/>
      <name val="Arial"/>
      <family val="2"/>
    </font>
    <font>
      <b/>
      <sz val="8"/>
      <color rgb="FFFFFFFF"/>
      <name val="Arial"/>
      <family val="2"/>
    </font>
    <font>
      <sz val="11"/>
      <color rgb="FF006100"/>
      <name val="Calibri"/>
      <family val="2"/>
      <scheme val="minor"/>
    </font>
    <font>
      <sz val="8"/>
      <color rgb="FF006100"/>
      <name val="Arial"/>
      <family val="2"/>
    </font>
    <font>
      <b/>
      <sz val="8"/>
      <color theme="9"/>
      <name val="Arial"/>
      <family val="2"/>
    </font>
    <font>
      <sz val="8"/>
      <name val="Calibri"/>
      <family val="2"/>
      <scheme val="minor"/>
    </font>
    <font>
      <sz val="11"/>
      <color theme="1"/>
      <name val="Calibri"/>
      <family val="2"/>
      <scheme val="minor"/>
    </font>
  </fonts>
  <fills count="6">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
      <patternFill patternType="solid">
        <fgColor rgb="FFC6EFCE"/>
      </patternFill>
    </fill>
  </fills>
  <borders count="13">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style="medium">
        <color rgb="FFFFFFFF"/>
      </left>
      <right style="medium">
        <color theme="0"/>
      </right>
      <top style="medium">
        <color theme="0"/>
      </top>
      <bottom/>
      <diagonal/>
    </border>
    <border>
      <left style="medium">
        <color rgb="FFFFFFFF"/>
      </left>
      <right style="medium">
        <color theme="0"/>
      </right>
      <top/>
      <bottom/>
      <diagonal/>
    </border>
    <border>
      <left style="medium">
        <color rgb="FFFFFFFF"/>
      </left>
      <right style="medium">
        <color theme="0"/>
      </right>
      <top/>
      <bottom style="medium">
        <color theme="0"/>
      </bottom>
      <diagonal/>
    </border>
    <border>
      <left style="medium">
        <color theme="0"/>
      </left>
      <right style="medium">
        <color rgb="FFFFFFFF"/>
      </right>
      <top style="medium">
        <color theme="0"/>
      </top>
      <bottom/>
      <diagonal/>
    </border>
    <border>
      <left style="medium">
        <color theme="0"/>
      </left>
      <right style="medium">
        <color rgb="FFFFFFFF"/>
      </right>
      <top/>
      <bottom/>
      <diagonal/>
    </border>
    <border>
      <left style="medium">
        <color theme="0"/>
      </left>
      <right style="medium">
        <color rgb="FFFFFFFF"/>
      </right>
      <top/>
      <bottom style="medium">
        <color theme="0"/>
      </bottom>
      <diagonal/>
    </border>
  </borders>
  <cellStyleXfs count="3">
    <xf numFmtId="0" fontId="0" fillId="0" borderId="0"/>
    <xf numFmtId="0" fontId="3" fillId="5" borderId="0" applyNumberFormat="0" applyBorder="0" applyAlignment="0" applyProtection="0"/>
    <xf numFmtId="44" fontId="7" fillId="0" borderId="0" applyFont="0" applyFill="0" applyBorder="0" applyAlignment="0" applyProtection="0"/>
  </cellStyleXfs>
  <cellXfs count="35">
    <xf numFmtId="0" fontId="0" fillId="0" borderId="0" xfId="0"/>
    <xf numFmtId="0" fontId="0" fillId="0" borderId="0" xfId="0" applyAlignment="1">
      <alignment wrapText="1"/>
    </xf>
    <xf numFmtId="0" fontId="2" fillId="2" borderId="1" xfId="0" applyFont="1" applyFill="1" applyBorder="1" applyAlignment="1">
      <alignment horizontal="center" vertical="center" wrapText="1" readingOrder="1"/>
    </xf>
    <xf numFmtId="0" fontId="0" fillId="0" borderId="0" xfId="0" applyAlignment="1">
      <alignment horizontal="center" wrapText="1"/>
    </xf>
    <xf numFmtId="0" fontId="0" fillId="0" borderId="0" xfId="0" applyAlignment="1">
      <alignment horizontal="center"/>
    </xf>
    <xf numFmtId="164" fontId="4" fillId="5" borderId="3" xfId="1" quotePrefix="1" applyNumberFormat="1" applyFont="1" applyBorder="1" applyAlignment="1">
      <alignment horizontal="center" vertical="center" wrapText="1" readingOrder="1"/>
    </xf>
    <xf numFmtId="0" fontId="1" fillId="3" borderId="3" xfId="0" quotePrefix="1"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xf numFmtId="0" fontId="2" fillId="4" borderId="2" xfId="0" applyFont="1" applyFill="1" applyBorder="1" applyAlignment="1">
      <alignment horizontal="center" vertical="center" wrapText="1" readingOrder="1"/>
    </xf>
    <xf numFmtId="3" fontId="1" fillId="3" borderId="3" xfId="0" quotePrefix="1" applyNumberFormat="1" applyFont="1" applyFill="1" applyBorder="1" applyAlignment="1">
      <alignment horizontal="center" vertical="center" wrapText="1" readingOrder="1"/>
    </xf>
    <xf numFmtId="44" fontId="4" fillId="5" borderId="3" xfId="1" quotePrefix="1" applyNumberFormat="1" applyFont="1" applyBorder="1" applyAlignment="1">
      <alignment horizontal="center" vertical="center" wrapText="1" readingOrder="1"/>
    </xf>
    <xf numFmtId="3" fontId="1"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left" vertical="center" wrapText="1" readingOrder="1"/>
    </xf>
    <xf numFmtId="0" fontId="5" fillId="3" borderId="3" xfId="0" quotePrefix="1" applyFont="1" applyFill="1" applyBorder="1" applyAlignment="1">
      <alignment horizontal="center" vertical="center" wrapText="1" readingOrder="1"/>
    </xf>
    <xf numFmtId="1" fontId="1" fillId="3" borderId="3" xfId="0" quotePrefix="1" applyNumberFormat="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0" fontId="5" fillId="3" borderId="7" xfId="0" quotePrefix="1" applyFont="1" applyFill="1" applyBorder="1" applyAlignment="1">
      <alignment vertical="center" wrapText="1" readingOrder="1"/>
    </xf>
    <xf numFmtId="0" fontId="1" fillId="3" borderId="3" xfId="0" quotePrefix="1" applyFont="1" applyFill="1" applyBorder="1" applyAlignment="1">
      <alignment vertical="center" wrapText="1" readingOrder="1"/>
    </xf>
    <xf numFmtId="165" fontId="1" fillId="3" borderId="3" xfId="0" quotePrefix="1" applyNumberFormat="1" applyFont="1" applyFill="1" applyBorder="1" applyAlignment="1">
      <alignment vertical="center" wrapText="1" readingOrder="1"/>
    </xf>
    <xf numFmtId="165" fontId="1" fillId="3" borderId="3" xfId="0" quotePrefix="1" applyNumberFormat="1" applyFont="1" applyFill="1" applyBorder="1" applyAlignment="1">
      <alignment horizontal="center" vertical="center" wrapText="1" readingOrder="1"/>
    </xf>
    <xf numFmtId="166" fontId="1" fillId="3" borderId="3" xfId="0" quotePrefix="1" applyNumberFormat="1" applyFont="1" applyFill="1" applyBorder="1" applyAlignment="1">
      <alignment horizontal="center" vertical="center" wrapText="1" readingOrder="1"/>
    </xf>
    <xf numFmtId="167" fontId="1" fillId="3" borderId="3" xfId="2" quotePrefix="1" applyNumberFormat="1" applyFont="1" applyFill="1" applyBorder="1" applyAlignment="1">
      <alignment horizontal="center" vertical="center" wrapText="1" readingOrder="1"/>
    </xf>
    <xf numFmtId="44" fontId="1" fillId="3" borderId="3" xfId="2" quotePrefix="1" applyFont="1" applyFill="1" applyBorder="1" applyAlignment="1">
      <alignment horizontal="center" vertical="center" wrapText="1" readingOrder="1"/>
    </xf>
    <xf numFmtId="0" fontId="1" fillId="3" borderId="4" xfId="0" quotePrefix="1" applyFont="1" applyFill="1" applyBorder="1" applyAlignment="1">
      <alignment horizontal="center" vertical="center" wrapText="1" readingOrder="1"/>
    </xf>
    <xf numFmtId="0" fontId="1" fillId="3" borderId="6" xfId="0" quotePrefix="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3" fontId="1" fillId="3" borderId="7" xfId="0" quotePrefix="1" applyNumberFormat="1" applyFont="1" applyFill="1" applyBorder="1" applyAlignment="1">
      <alignment horizontal="center" vertical="center" wrapText="1" readingOrder="1"/>
    </xf>
    <xf numFmtId="3" fontId="1" fillId="3" borderId="8" xfId="0" quotePrefix="1" applyNumberFormat="1" applyFont="1" applyFill="1" applyBorder="1" applyAlignment="1">
      <alignment horizontal="center" vertical="center" wrapText="1" readingOrder="1"/>
    </xf>
    <xf numFmtId="3" fontId="1" fillId="3" borderId="9" xfId="0" quotePrefix="1" applyNumberFormat="1" applyFont="1" applyFill="1" applyBorder="1" applyAlignment="1">
      <alignment horizontal="center" vertical="center" wrapText="1" readingOrder="1"/>
    </xf>
    <xf numFmtId="0" fontId="5" fillId="3" borderId="7" xfId="0" quotePrefix="1" applyFont="1" applyFill="1" applyBorder="1" applyAlignment="1">
      <alignment horizontal="center" vertical="center" wrapText="1" readingOrder="1"/>
    </xf>
    <xf numFmtId="0" fontId="5" fillId="3" borderId="8" xfId="0" quotePrefix="1" applyFont="1" applyFill="1" applyBorder="1" applyAlignment="1">
      <alignment horizontal="center" vertical="center" wrapText="1" readingOrder="1"/>
    </xf>
    <xf numFmtId="0" fontId="5" fillId="3" borderId="9" xfId="0" quotePrefix="1" applyFont="1" applyFill="1" applyBorder="1" applyAlignment="1">
      <alignment horizontal="center" vertical="center" wrapText="1" readingOrder="1"/>
    </xf>
    <xf numFmtId="0" fontId="1" fillId="3" borderId="10" xfId="0" quotePrefix="1" applyFont="1" applyFill="1" applyBorder="1" applyAlignment="1">
      <alignment horizontal="left" vertical="center" wrapText="1" readingOrder="1"/>
    </xf>
    <xf numFmtId="0" fontId="1" fillId="3" borderId="11" xfId="0" quotePrefix="1" applyFont="1" applyFill="1" applyBorder="1" applyAlignment="1">
      <alignment horizontal="left" vertical="center" wrapText="1" readingOrder="1"/>
    </xf>
    <xf numFmtId="0" fontId="1" fillId="3" borderId="12" xfId="0" quotePrefix="1" applyFont="1" applyFill="1" applyBorder="1" applyAlignment="1">
      <alignment horizontal="left" vertical="center" wrapText="1" readingOrder="1"/>
    </xf>
  </cellXfs>
  <cellStyles count="3">
    <cellStyle name="Currency" xfId="2" builtinId="4"/>
    <cellStyle name="Good" xfId="1" builtinId="26"/>
    <cellStyle name="Normal" xfId="0" builtinId="0"/>
  </cellStyles>
  <dxfs count="5">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dimension ref="A1:Z29"/>
  <sheetViews>
    <sheetView tabSelected="1" topLeftCell="I5" zoomScale="130" zoomScaleNormal="130" workbookViewId="0">
      <selection activeCell="Q6" sqref="Q6"/>
    </sheetView>
  </sheetViews>
  <sheetFormatPr defaultColWidth="9.109375" defaultRowHeight="14.4" x14ac:dyDescent="0.3"/>
  <cols>
    <col min="1" max="3" width="8.88671875" style="4"/>
    <col min="4" max="4" width="13.109375" style="4" customWidth="1"/>
    <col min="5" max="5" width="11.5546875" style="4" customWidth="1"/>
    <col min="6" max="6" width="11.109375" style="4" customWidth="1"/>
    <col min="7" max="7" width="20.6640625" style="4" customWidth="1"/>
    <col min="8" max="8" width="10.88671875" style="4" customWidth="1"/>
    <col min="9" max="9" width="13.88671875" style="4" customWidth="1"/>
    <col min="10" max="10" width="13.109375" style="4" bestFit="1" customWidth="1"/>
    <col min="11" max="11" width="10.109375" style="4" customWidth="1"/>
    <col min="12" max="12" width="9.109375" style="4"/>
    <col min="13" max="13" width="12" style="4" customWidth="1"/>
    <col min="14" max="14" width="11.33203125" style="4" customWidth="1"/>
    <col min="15" max="15" width="23.109375" style="4" customWidth="1"/>
    <col min="16" max="16" width="17.109375" style="4" customWidth="1"/>
    <col min="17" max="17" width="39.6640625" style="4" customWidth="1"/>
    <col min="18" max="18" width="12.44140625" style="4" customWidth="1"/>
    <col min="19" max="19" width="13.109375" style="4" customWidth="1"/>
    <col min="20" max="22" width="10.88671875" style="4" customWidth="1"/>
    <col min="23" max="23" width="12.109375" style="4" bestFit="1" customWidth="1"/>
    <col min="24" max="26" width="10.88671875" style="4" customWidth="1"/>
  </cols>
  <sheetData>
    <row r="1" spans="1:26" s="1" customFormat="1" ht="42.6" customHeight="1" thickBot="1" x14ac:dyDescent="0.35">
      <c r="A1" s="2" t="s">
        <v>0</v>
      </c>
      <c r="B1" s="2" t="s">
        <v>1</v>
      </c>
      <c r="C1" s="2" t="s">
        <v>2</v>
      </c>
      <c r="D1" s="2" t="s">
        <v>4</v>
      </c>
      <c r="E1" s="2" t="s">
        <v>5</v>
      </c>
      <c r="F1" s="2" t="s">
        <v>15</v>
      </c>
      <c r="G1" s="2" t="s">
        <v>9</v>
      </c>
      <c r="H1" s="2" t="s">
        <v>13</v>
      </c>
      <c r="I1" s="2" t="s">
        <v>10</v>
      </c>
      <c r="J1" s="2" t="s">
        <v>11</v>
      </c>
      <c r="K1" s="2" t="s">
        <v>6</v>
      </c>
      <c r="L1" s="2" t="s">
        <v>7</v>
      </c>
      <c r="M1" s="2" t="s">
        <v>8</v>
      </c>
      <c r="N1" s="2" t="s">
        <v>3</v>
      </c>
      <c r="O1" s="2" t="s">
        <v>25</v>
      </c>
      <c r="P1" s="2" t="s">
        <v>12</v>
      </c>
      <c r="Q1" s="2" t="s">
        <v>14</v>
      </c>
      <c r="R1" s="7" t="s">
        <v>16</v>
      </c>
      <c r="S1" s="7" t="s">
        <v>17</v>
      </c>
      <c r="T1" s="8" t="s">
        <v>18</v>
      </c>
      <c r="U1" s="8" t="s">
        <v>19</v>
      </c>
      <c r="V1" s="8" t="s">
        <v>22</v>
      </c>
      <c r="W1" s="8" t="s">
        <v>20</v>
      </c>
      <c r="X1" s="7" t="s">
        <v>23</v>
      </c>
      <c r="Y1" s="7" t="s">
        <v>21</v>
      </c>
      <c r="Z1" s="7" t="s">
        <v>24</v>
      </c>
    </row>
    <row r="2" spans="1:26" s="1" customFormat="1" ht="380.4" customHeight="1" thickBot="1" x14ac:dyDescent="0.35">
      <c r="A2" s="6">
        <v>1</v>
      </c>
      <c r="B2" s="6" t="s">
        <v>26</v>
      </c>
      <c r="C2" s="6" t="s">
        <v>28</v>
      </c>
      <c r="D2" s="6" t="s">
        <v>34</v>
      </c>
      <c r="E2" s="9" t="s">
        <v>29</v>
      </c>
      <c r="F2" s="9" t="s">
        <v>61</v>
      </c>
      <c r="G2" s="14">
        <v>110000034792</v>
      </c>
      <c r="H2" s="6" t="s">
        <v>30</v>
      </c>
      <c r="I2" s="6" t="s">
        <v>85</v>
      </c>
      <c r="J2" s="6" t="s">
        <v>31</v>
      </c>
      <c r="K2" s="9" t="s">
        <v>32</v>
      </c>
      <c r="L2" s="9" t="s">
        <v>27</v>
      </c>
      <c r="M2" s="6" t="s">
        <v>35</v>
      </c>
      <c r="N2" s="6" t="s">
        <v>36</v>
      </c>
      <c r="O2" s="12" t="s">
        <v>88</v>
      </c>
      <c r="P2" s="13" t="s">
        <v>86</v>
      </c>
      <c r="Q2" s="11" t="s">
        <v>90</v>
      </c>
      <c r="R2" s="9" t="s">
        <v>33</v>
      </c>
      <c r="S2" s="6" t="s">
        <v>37</v>
      </c>
      <c r="T2" s="9">
        <v>1986671</v>
      </c>
      <c r="U2" s="9">
        <v>7946687</v>
      </c>
      <c r="V2" s="5">
        <f>(1.08-1.42)*1986671</f>
        <v>-675468.13999999966</v>
      </c>
      <c r="W2" s="5">
        <f>(1.08-1.42)*7946647</f>
        <v>-2701859.9799999991</v>
      </c>
      <c r="X2" s="9">
        <v>0</v>
      </c>
      <c r="Y2" s="6">
        <v>0</v>
      </c>
      <c r="Z2" s="10">
        <f t="shared" ref="Z2:Z4" si="0">Y2-X2</f>
        <v>0</v>
      </c>
    </row>
    <row r="3" spans="1:26" s="1" customFormat="1" ht="100.05" customHeight="1" thickBot="1" x14ac:dyDescent="0.35">
      <c r="A3" s="6">
        <v>2</v>
      </c>
      <c r="B3" s="6" t="s">
        <v>38</v>
      </c>
      <c r="C3" s="6" t="s">
        <v>68</v>
      </c>
      <c r="D3" s="6" t="s">
        <v>69</v>
      </c>
      <c r="E3" s="9" t="s">
        <v>70</v>
      </c>
      <c r="F3" s="9" t="s">
        <v>75</v>
      </c>
      <c r="G3" s="14">
        <v>110000031301</v>
      </c>
      <c r="H3" s="6" t="s">
        <v>84</v>
      </c>
      <c r="I3" s="6" t="s">
        <v>74</v>
      </c>
      <c r="J3" s="6" t="s">
        <v>72</v>
      </c>
      <c r="K3" s="9" t="s">
        <v>73</v>
      </c>
      <c r="L3" s="9" t="s">
        <v>27</v>
      </c>
      <c r="M3" s="21" t="s">
        <v>80</v>
      </c>
      <c r="N3" s="21" t="s">
        <v>81</v>
      </c>
      <c r="O3" s="12" t="s">
        <v>87</v>
      </c>
      <c r="P3" s="13" t="s">
        <v>86</v>
      </c>
      <c r="Q3" s="11"/>
      <c r="R3" s="22" t="s">
        <v>82</v>
      </c>
      <c r="S3" s="22" t="s">
        <v>83</v>
      </c>
      <c r="T3" s="9">
        <v>318202</v>
      </c>
      <c r="U3" s="9">
        <v>2227414</v>
      </c>
      <c r="V3" s="5">
        <f>(0.9345-0.945)*T3</f>
        <v>-3341.1209999999851</v>
      </c>
      <c r="W3" s="5">
        <f>(0.9345-0.945)*U3</f>
        <v>-23387.846999999896</v>
      </c>
      <c r="X3" s="9">
        <v>0</v>
      </c>
      <c r="Y3" s="6">
        <v>0</v>
      </c>
      <c r="Z3" s="10">
        <f t="shared" ref="Z3" si="1">Y3-X3</f>
        <v>0</v>
      </c>
    </row>
    <row r="4" spans="1:26" s="1" customFormat="1" ht="100.05" customHeight="1" thickBot="1" x14ac:dyDescent="0.35">
      <c r="A4" s="6">
        <v>3</v>
      </c>
      <c r="B4" s="6" t="s">
        <v>38</v>
      </c>
      <c r="C4" s="6" t="s">
        <v>68</v>
      </c>
      <c r="D4" s="6" t="s">
        <v>69</v>
      </c>
      <c r="E4" s="9" t="s">
        <v>70</v>
      </c>
      <c r="F4" s="9" t="s">
        <v>75</v>
      </c>
      <c r="G4" s="14">
        <v>110000031303</v>
      </c>
      <c r="H4" s="6" t="s">
        <v>84</v>
      </c>
      <c r="I4" s="6" t="s">
        <v>71</v>
      </c>
      <c r="J4" s="6" t="s">
        <v>72</v>
      </c>
      <c r="K4" s="9" t="s">
        <v>73</v>
      </c>
      <c r="L4" s="9" t="s">
        <v>27</v>
      </c>
      <c r="M4" s="21" t="s">
        <v>76</v>
      </c>
      <c r="N4" s="21" t="s">
        <v>77</v>
      </c>
      <c r="O4" s="12" t="s">
        <v>87</v>
      </c>
      <c r="P4" s="13" t="s">
        <v>86</v>
      </c>
      <c r="Q4" s="11"/>
      <c r="R4" s="22" t="s">
        <v>78</v>
      </c>
      <c r="S4" s="22" t="s">
        <v>79</v>
      </c>
      <c r="T4" s="9">
        <v>318202</v>
      </c>
      <c r="U4" s="9">
        <v>2227414</v>
      </c>
      <c r="V4" s="5">
        <f>(0.94-0.9455)*T4</f>
        <v>-1750.1110000000192</v>
      </c>
      <c r="W4" s="5">
        <f>(0.94-0.9455)*U4</f>
        <v>-12250.777000000135</v>
      </c>
      <c r="X4" s="9">
        <v>0</v>
      </c>
      <c r="Y4" s="6">
        <v>0</v>
      </c>
      <c r="Z4" s="10">
        <f t="shared" si="0"/>
        <v>0</v>
      </c>
    </row>
    <row r="5" spans="1:26" s="1" customFormat="1" ht="139.80000000000001" customHeight="1" thickBot="1" x14ac:dyDescent="0.35">
      <c r="A5" s="6">
        <v>4</v>
      </c>
      <c r="B5" s="6" t="s">
        <v>38</v>
      </c>
      <c r="C5" s="6" t="s">
        <v>66</v>
      </c>
      <c r="D5" s="6" t="s">
        <v>43</v>
      </c>
      <c r="E5" s="9" t="s">
        <v>52</v>
      </c>
      <c r="F5" s="6" t="s">
        <v>60</v>
      </c>
      <c r="G5" s="14">
        <v>110000034992</v>
      </c>
      <c r="H5" s="6" t="s">
        <v>39</v>
      </c>
      <c r="I5" s="6" t="s">
        <v>40</v>
      </c>
      <c r="J5" s="6" t="s">
        <v>44</v>
      </c>
      <c r="K5" s="6" t="s">
        <v>41</v>
      </c>
      <c r="L5" s="6" t="s">
        <v>27</v>
      </c>
      <c r="M5" s="6" t="s">
        <v>45</v>
      </c>
      <c r="N5" s="6" t="s">
        <v>46</v>
      </c>
      <c r="O5" s="17" t="s">
        <v>42</v>
      </c>
      <c r="P5" s="13" t="s">
        <v>86</v>
      </c>
      <c r="Q5" s="12" t="s">
        <v>92</v>
      </c>
      <c r="R5" s="18" t="s">
        <v>47</v>
      </c>
      <c r="S5" s="19" t="s">
        <v>48</v>
      </c>
      <c r="T5" s="9">
        <v>1068308</v>
      </c>
      <c r="U5" s="9">
        <v>9614770</v>
      </c>
      <c r="V5" s="5">
        <f>+T5*(0.16645-0.11464)</f>
        <v>55349.037479999977</v>
      </c>
      <c r="W5" s="5">
        <f>+U5*(0.16645-0.11464)</f>
        <v>498141.23369999981</v>
      </c>
      <c r="X5" s="20" t="s">
        <v>49</v>
      </c>
      <c r="Y5" s="20" t="s">
        <v>50</v>
      </c>
      <c r="Z5" s="10">
        <f>144056-109091</f>
        <v>34965</v>
      </c>
    </row>
    <row r="6" spans="1:26" s="1" customFormat="1" ht="195.6" customHeight="1" thickBot="1" x14ac:dyDescent="0.35">
      <c r="A6" s="6">
        <v>5</v>
      </c>
      <c r="B6" s="6" t="s">
        <v>38</v>
      </c>
      <c r="C6" s="6" t="s">
        <v>66</v>
      </c>
      <c r="D6" s="6" t="s">
        <v>51</v>
      </c>
      <c r="E6" s="9" t="s">
        <v>52</v>
      </c>
      <c r="F6" s="9" t="s">
        <v>53</v>
      </c>
      <c r="G6" s="14">
        <v>110000034993</v>
      </c>
      <c r="H6" s="6" t="s">
        <v>54</v>
      </c>
      <c r="I6" s="6" t="s">
        <v>55</v>
      </c>
      <c r="J6" s="6" t="s">
        <v>56</v>
      </c>
      <c r="K6" s="9" t="s">
        <v>57</v>
      </c>
      <c r="L6" s="9" t="s">
        <v>58</v>
      </c>
      <c r="M6" s="6" t="s">
        <v>67</v>
      </c>
      <c r="N6" s="6" t="s">
        <v>59</v>
      </c>
      <c r="O6" s="12" t="s">
        <v>91</v>
      </c>
      <c r="P6" s="13" t="s">
        <v>86</v>
      </c>
      <c r="Q6" s="11" t="s">
        <v>89</v>
      </c>
      <c r="R6" s="9" t="s">
        <v>63</v>
      </c>
      <c r="S6" s="6" t="s">
        <v>64</v>
      </c>
      <c r="T6" s="9">
        <v>1068308</v>
      </c>
      <c r="U6" s="9">
        <v>9614770</v>
      </c>
      <c r="V6" s="5">
        <f>(0.132-0.115)*T6</f>
        <v>18161.236000000001</v>
      </c>
      <c r="W6" s="5">
        <f>(0.132-0.115)*U6</f>
        <v>163451.09000000003</v>
      </c>
      <c r="X6" s="20" t="s">
        <v>62</v>
      </c>
      <c r="Y6" s="20" t="s">
        <v>65</v>
      </c>
      <c r="Z6" s="10">
        <f>134636-114545</f>
        <v>20091</v>
      </c>
    </row>
    <row r="7" spans="1:26" s="1" customFormat="1" ht="118.35" customHeight="1" thickBot="1" x14ac:dyDescent="0.35">
      <c r="A7" s="6"/>
      <c r="B7" s="6"/>
      <c r="C7" s="6"/>
      <c r="D7" s="6"/>
      <c r="E7" s="9"/>
      <c r="F7" s="9"/>
      <c r="G7" s="14"/>
      <c r="H7" s="6"/>
      <c r="I7" s="6"/>
      <c r="J7" s="6"/>
      <c r="K7" s="9"/>
      <c r="L7" s="9"/>
      <c r="M7" s="6"/>
      <c r="N7" s="6"/>
      <c r="O7" s="12"/>
      <c r="P7" s="13"/>
      <c r="Q7" s="11"/>
      <c r="R7" s="9"/>
      <c r="S7" s="9"/>
      <c r="T7" s="9"/>
      <c r="U7" s="9"/>
      <c r="V7" s="9"/>
      <c r="W7" s="9"/>
      <c r="X7" s="9"/>
      <c r="Y7" s="9"/>
      <c r="Z7" s="9"/>
    </row>
    <row r="8" spans="1:26" s="1" customFormat="1" ht="118.35" customHeight="1" thickBot="1" x14ac:dyDescent="0.35">
      <c r="A8" s="6"/>
      <c r="B8" s="6"/>
      <c r="C8" s="6"/>
      <c r="D8" s="6"/>
      <c r="E8" s="9"/>
      <c r="F8" s="9"/>
      <c r="G8" s="14"/>
      <c r="H8" s="6"/>
      <c r="I8" s="6"/>
      <c r="J8" s="6"/>
      <c r="K8" s="9"/>
      <c r="L8" s="9"/>
      <c r="M8" s="6"/>
      <c r="N8" s="6"/>
      <c r="O8" s="12"/>
      <c r="P8" s="13"/>
      <c r="Q8" s="11"/>
      <c r="R8" s="9"/>
      <c r="S8" s="6"/>
      <c r="T8" s="9"/>
      <c r="U8" s="9"/>
      <c r="V8" s="9"/>
      <c r="W8" s="9"/>
      <c r="X8" s="9"/>
      <c r="Y8" s="9"/>
      <c r="Z8" s="9"/>
    </row>
    <row r="9" spans="1:26" s="1" customFormat="1" ht="118.35" customHeight="1" thickBot="1" x14ac:dyDescent="0.35">
      <c r="A9" s="23"/>
      <c r="B9" s="6"/>
      <c r="C9" s="6"/>
      <c r="D9" s="6"/>
      <c r="E9" s="9"/>
      <c r="F9" s="9"/>
      <c r="G9" s="6"/>
      <c r="H9" s="6"/>
      <c r="I9" s="6"/>
      <c r="J9" s="6"/>
      <c r="K9" s="9"/>
      <c r="L9" s="26"/>
      <c r="M9" s="23"/>
      <c r="N9" s="23"/>
      <c r="O9" s="32"/>
      <c r="P9" s="29"/>
      <c r="Q9" s="11"/>
      <c r="R9" s="9"/>
      <c r="S9" s="6"/>
      <c r="T9" s="9"/>
      <c r="U9" s="9"/>
      <c r="V9" s="9"/>
      <c r="W9" s="9"/>
      <c r="X9" s="9"/>
      <c r="Y9" s="9"/>
      <c r="Z9" s="9"/>
    </row>
    <row r="10" spans="1:26" s="1" customFormat="1" ht="118.35" customHeight="1" thickBot="1" x14ac:dyDescent="0.35">
      <c r="A10" s="24"/>
      <c r="B10" s="6"/>
      <c r="C10" s="6"/>
      <c r="D10" s="6"/>
      <c r="E10" s="9"/>
      <c r="F10" s="9"/>
      <c r="G10" s="6"/>
      <c r="H10" s="6"/>
      <c r="I10" s="6"/>
      <c r="J10" s="6"/>
      <c r="K10" s="9"/>
      <c r="L10" s="27"/>
      <c r="M10" s="24"/>
      <c r="N10" s="24"/>
      <c r="O10" s="33"/>
      <c r="P10" s="30"/>
      <c r="Q10" s="11"/>
      <c r="R10" s="9"/>
      <c r="S10" s="9"/>
      <c r="T10" s="9"/>
      <c r="U10" s="9"/>
      <c r="V10" s="9"/>
      <c r="W10" s="9"/>
      <c r="X10" s="9"/>
      <c r="Y10" s="9"/>
      <c r="Z10" s="9"/>
    </row>
    <row r="11" spans="1:26" s="1" customFormat="1" ht="118.35" customHeight="1" thickBot="1" x14ac:dyDescent="0.35">
      <c r="A11" s="25"/>
      <c r="B11" s="6"/>
      <c r="C11" s="6"/>
      <c r="D11" s="6"/>
      <c r="E11" s="9"/>
      <c r="F11" s="9"/>
      <c r="G11" s="6"/>
      <c r="H11" s="6"/>
      <c r="I11" s="6"/>
      <c r="J11" s="6"/>
      <c r="K11" s="9"/>
      <c r="L11" s="28"/>
      <c r="M11" s="25"/>
      <c r="N11" s="25"/>
      <c r="O11" s="34"/>
      <c r="P11" s="31"/>
      <c r="Q11" s="11"/>
      <c r="R11" s="9"/>
      <c r="S11" s="9"/>
      <c r="T11" s="9"/>
      <c r="U11" s="9"/>
      <c r="V11" s="9"/>
      <c r="W11" s="9"/>
      <c r="X11" s="9"/>
      <c r="Y11" s="9"/>
      <c r="Z11" s="9"/>
    </row>
    <row r="12" spans="1:26" s="1" customFormat="1" ht="118.35" customHeight="1" thickBot="1" x14ac:dyDescent="0.35">
      <c r="A12" s="6"/>
      <c r="B12" s="6"/>
      <c r="C12" s="6"/>
      <c r="D12" s="6"/>
      <c r="E12" s="9"/>
      <c r="F12" s="9"/>
      <c r="G12" s="14"/>
      <c r="H12" s="6"/>
      <c r="I12" s="6"/>
      <c r="J12" s="6"/>
      <c r="K12" s="9"/>
      <c r="L12" s="9"/>
      <c r="M12" s="9"/>
      <c r="N12" s="9"/>
      <c r="O12" s="12"/>
      <c r="P12" s="16"/>
      <c r="Q12" s="11"/>
      <c r="R12" s="9"/>
      <c r="S12" s="6"/>
      <c r="T12" s="9"/>
      <c r="U12" s="9"/>
      <c r="V12" s="9"/>
      <c r="W12" s="9"/>
      <c r="X12" s="9"/>
      <c r="Y12" s="9"/>
      <c r="Z12" s="9"/>
    </row>
    <row r="13" spans="1:26" s="1" customFormat="1" ht="118.35" customHeight="1" thickBot="1" x14ac:dyDescent="0.35">
      <c r="A13" s="15"/>
      <c r="B13" s="6"/>
      <c r="C13" s="6"/>
      <c r="D13" s="6"/>
      <c r="E13" s="9"/>
      <c r="F13" s="9"/>
      <c r="G13" s="14"/>
      <c r="H13" s="6"/>
      <c r="I13" s="6"/>
      <c r="J13" s="6"/>
      <c r="K13" s="9"/>
      <c r="L13" s="9"/>
      <c r="M13" s="9"/>
      <c r="N13" s="9"/>
      <c r="O13" s="12"/>
      <c r="P13" s="16"/>
      <c r="Q13" s="11"/>
      <c r="R13" s="9"/>
      <c r="S13" s="6"/>
      <c r="T13" s="9"/>
      <c r="U13" s="9"/>
      <c r="V13" s="9"/>
      <c r="W13" s="9"/>
      <c r="X13" s="9"/>
      <c r="Y13" s="9"/>
      <c r="Z13" s="9"/>
    </row>
    <row r="14" spans="1:26" s="1" customFormat="1" ht="42.6" customHeight="1"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s="1" customFormat="1" ht="42.6"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s="1" customFormat="1" ht="42.6"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s="1" customFormat="1" ht="42.6"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s="1" customFormat="1" ht="42.6"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s="1" customFormat="1" ht="42.6"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s="1" customFormat="1" ht="42.6"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s="1" customFormat="1" ht="42.6"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s="1" customFormat="1" ht="42.6"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s="1" customFormat="1" ht="42.6"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s="1" customFormat="1" ht="42.6"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s="1" customFormat="1" ht="42.6"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s="1" customFormat="1" ht="42.6"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s="1" customFormat="1" ht="42.6"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s="1" customFormat="1" ht="42.6"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s="1" customFormat="1" ht="42.6"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sheetData>
  <mergeCells count="6">
    <mergeCell ref="A9:A11"/>
    <mergeCell ref="L9:L11"/>
    <mergeCell ref="M9:M11"/>
    <mergeCell ref="N9:N11"/>
    <mergeCell ref="P9:P11"/>
    <mergeCell ref="O9:O11"/>
  </mergeCells>
  <phoneticPr fontId="6" type="noConversion"/>
  <conditionalFormatting sqref="V1 V14:V1048576 Z14:Z1048576">
    <cfRule type="cellIs" dxfId="4" priority="90" operator="lessThan">
      <formula>0</formula>
    </cfRule>
  </conditionalFormatting>
  <conditionalFormatting sqref="V2:W6">
    <cfRule type="cellIs" dxfId="3" priority="1" operator="greaterThan">
      <formula>0</formula>
    </cfRule>
    <cfRule type="cellIs" dxfId="2" priority="2" operator="lessThan">
      <formula>0</formula>
    </cfRule>
  </conditionalFormatting>
  <conditionalFormatting sqref="Z1:Z6">
    <cfRule type="cellIs" dxfId="1" priority="14" operator="lessThan">
      <formula>0</formula>
    </cfRule>
  </conditionalFormatting>
  <conditionalFormatting sqref="Z2:Z6">
    <cfRule type="cellIs" dxfId="0" priority="13" operator="greaterThan">
      <formula>0</formula>
    </cfRule>
  </conditionalFormatting>
  <pageMargins left="0.7" right="0.7" top="0.75" bottom="0.75" header="0.3" footer="0.3"/>
  <pageSetup orientation="portrait"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10" ma:contentTypeDescription="Ein neues Dokument erstellen." ma:contentTypeScope="" ma:versionID="728a42373757fe19dbf32cb01accea12">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6d1219d07439347edf1a7dd06578600"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7d00205-0ffb-4bc2-b18e-b800942d8fea" xsi:nil="true"/>
    <lcf76f155ced4ddcb4097134ff3c332f xmlns="c58f02bd-e0b7-474b-a2bc-9a19f162f3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6012BF-BAE0-42C9-B2BF-C85799458002}"/>
</file>

<file path=customXml/itemProps2.xml><?xml version="1.0" encoding="utf-8"?>
<ds:datastoreItem xmlns:ds="http://schemas.openxmlformats.org/officeDocument/2006/customXml" ds:itemID="{1B08B1CF-97F0-4A59-A730-93A47F515F76}"/>
</file>

<file path=customXml/itemProps3.xml><?xml version="1.0" encoding="utf-8"?>
<ds:datastoreItem xmlns:ds="http://schemas.openxmlformats.org/officeDocument/2006/customXml" ds:itemID="{BE3E8D11-31F1-46BA-9C99-EB92A9F48AE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KW24, 2026</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2025-09-03T13:26:17Z</cp:lastPrinted>
  <dcterms:created xsi:type="dcterms:W3CDTF">2025-09-02T13:26:50Z</dcterms:created>
  <dcterms:modified xsi:type="dcterms:W3CDTF">2026-06-10T13:08:49Z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IbpWorkbookKeyString_GUID">
    <vt:lpwstr>38fc2b40-ce9d-4aa7-a82c-e708adc4547a</vt:lpwstr>
  </property>
  <property fmtid="{D5CDD505-2E9C-101B-9397-08002B2CF9AE}" pid="10" name="ContentTypeId">
    <vt:lpwstr>0x010100D2AE94798D0E7D4487CB84FC9A87565D</vt:lpwstr>
  </property>
</Properties>
</file>