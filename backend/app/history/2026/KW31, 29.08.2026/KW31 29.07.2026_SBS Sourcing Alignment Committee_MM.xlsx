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31, 29.07.2026/"/>
    </mc:Choice>
  </mc:AlternateContent>
  <xr:revisionPtr revIDLastSave="29" documentId="8_{6A856742-3256-401D-AAB8-2320326FEB94}" xr6:coauthVersionLast="47" xr6:coauthVersionMax="47" xr10:uidLastSave="{55EBD5D2-0B23-4109-BB8D-842E4DEFFC57}"/>
  <bookViews>
    <workbookView xWindow="28680" yWindow="-120" windowWidth="29040" windowHeight="15720" xr2:uid="{00000000-000D-0000-FFFF-FFFF00000000}"/>
  </bookViews>
  <sheets>
    <sheet name="KW31, 2026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4" l="1"/>
  <c r="W4" i="4"/>
  <c r="V4" i="4"/>
  <c r="W3" i="4" l="1"/>
  <c r="V3" i="4"/>
  <c r="W2" i="4"/>
  <c r="V2" i="4"/>
  <c r="Z2" i="4"/>
  <c r="Z3" i="4"/>
</calcChain>
</file>

<file path=xl/sharedStrings.xml><?xml version="1.0" encoding="utf-8"?>
<sst xmlns="http://schemas.openxmlformats.org/spreadsheetml/2006/main" count="78" uniqueCount="72">
  <si>
    <t>#</t>
  </si>
  <si>
    <t>Region</t>
  </si>
  <si>
    <t>Type</t>
  </si>
  <si>
    <t>Project/ Product</t>
  </si>
  <si>
    <t>Commodity</t>
  </si>
  <si>
    <t>Parent PF Code</t>
  </si>
  <si>
    <t>SWAT ID / Bundle ID</t>
  </si>
  <si>
    <t>Part Description</t>
  </si>
  <si>
    <t>PN</t>
  </si>
  <si>
    <t>Recommended Supplier (s)</t>
  </si>
  <si>
    <t>Presenter</t>
  </si>
  <si>
    <t>Decision Level</t>
  </si>
  <si>
    <t>Peak Year Spend</t>
  </si>
  <si>
    <t xml:space="preserve">LT Spend </t>
  </si>
  <si>
    <t>Comment</t>
  </si>
  <si>
    <t xml:space="preserve">Sourcing Decision </t>
  </si>
  <si>
    <t>Notes/Task/ Resp./ Due Date</t>
  </si>
  <si>
    <t>CQA PC PRICE</t>
  </si>
  <si>
    <t>Rec. Supplier Landed</t>
  </si>
  <si>
    <t>Average Volume</t>
  </si>
  <si>
    <t>LT volume</t>
  </si>
  <si>
    <t>Average Year Saving vs CQA</t>
  </si>
  <si>
    <t>LT saving</t>
  </si>
  <si>
    <t>CQA Tooling</t>
  </si>
  <si>
    <t xml:space="preserve">Rec. Supplier Tooling </t>
  </si>
  <si>
    <t>Tooling Saving vs CQA</t>
  </si>
  <si>
    <t>AP</t>
  </si>
  <si>
    <t>New</t>
  </si>
  <si>
    <t>VW CMP21</t>
  </si>
  <si>
    <t>SC</t>
  </si>
  <si>
    <t>SC08001</t>
  </si>
  <si>
    <t>TBD in supplyon</t>
  </si>
  <si>
    <t>Full Metal D Ring Assy</t>
  </si>
  <si>
    <t>R004W257A R004W258A</t>
  </si>
  <si>
    <t>Changzhou Jichi Auto Parts CO LTD
(J&amp;S China)</t>
  </si>
  <si>
    <t>Joanna Shao</t>
  </si>
  <si>
    <t>L4</t>
  </si>
  <si>
    <t>110K Euro</t>
  </si>
  <si>
    <t>160K Euro</t>
  </si>
  <si>
    <t>1. Existing PN from J&amp;S China, they supply also our competitor Autoliv.
2. J&amp;S capacity (max) : 9.6 million pcs/year.
3.  J&amp;S China only to cover first 1st year demand, until ZF LT FMDL could be localized at AMP+Henn CN
4. J&amp;S would be aquired by a new owner end of 2026, no change of name and address.
5. Family team informed</t>
  </si>
  <si>
    <t>Approved</t>
  </si>
  <si>
    <t>1. PM to obtain VW BMG Approval within 1 year.--PM  Kunliang Chen
2. To check with J&amp;S China if they could build a (3-month) safety stock at their cost, and at keep it at their site.--BU Buyer Joanna
3. To update the legal entity in sales one way letter, to change it from ZF to ZF LT--BU Buyer Joanna with legal</t>
  </si>
  <si>
    <t>0,6772 Euro/pc
5,35 RMB/pc</t>
  </si>
  <si>
    <t>0,6177 Euro/pc
4,88 RMB/pc</t>
  </si>
  <si>
    <t>SPR8.SE
MBEAL</t>
  </si>
  <si>
    <t>FF</t>
  </si>
  <si>
    <t>FF04011</t>
  </si>
  <si>
    <t>110000034879</t>
  </si>
  <si>
    <t>Stop</t>
  </si>
  <si>
    <t>R003D063A</t>
  </si>
  <si>
    <t>Nantong Xinding Chihong New Material</t>
  </si>
  <si>
    <t>Yajun Zhao</t>
  </si>
  <si>
    <t>22K Euro</t>
  </si>
  <si>
    <t>132K Euro</t>
  </si>
  <si>
    <t>1. Tool cost, Nantong XDCH accepted amortize into 3 years volume by 202,342 pcs, MPC will send out into award mail together for XDCH signature.
2. Approved by Family 8 team.</t>
  </si>
  <si>
    <t>Approved offline</t>
  </si>
  <si>
    <t>0,1519 Euro/pc
1,2 RMB/pc</t>
  </si>
  <si>
    <t>0,1494 Euro/pc
1,18 RMB/pc</t>
  </si>
  <si>
    <t>EU</t>
  </si>
  <si>
    <t>MBEAL</t>
  </si>
  <si>
    <t>EA</t>
  </si>
  <si>
    <t>EA03004</t>
  </si>
  <si>
    <t>110000035075</t>
  </si>
  <si>
    <t>Harness</t>
  </si>
  <si>
    <t>R004G240A</t>
  </si>
  <si>
    <t>Jintong Automotive Science &amp;Technol</t>
  </si>
  <si>
    <t>CESAR DAVID ESPINOZA</t>
  </si>
  <si>
    <t>66K Euro</t>
  </si>
  <si>
    <t>393K Euro</t>
  </si>
  <si>
    <t>to follow up with alternative tube, potential VAVE saving 0,065 Euro/pc. -- BU buyer Zhi, AE Santhosh</t>
  </si>
  <si>
    <t>0,85 Euro/pc</t>
  </si>
  <si>
    <t>0,7327 Euro/pc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</si>
</sst>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\ [$€-407];\-#,##0\ [$€-407]"/>
  </numFmts>
  <fonts count="8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  <font>
      <sz val="8"/>
      <name val="Calibri"/>
      <family val="2"/>
      <scheme val="minor"/>
    </font>
    <font>
      <b/>
      <sz val="8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164" fontId="4" fillId="5" borderId="3" xfId="1" quotePrefix="1" applyNumberFormat="1" applyFont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4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10" xfId="0" applyFont="1" applyFill="1" applyBorder="1" applyAlignment="1">
      <alignment horizontal="center" vertical="center" wrapText="1"/>
    </xf>
    <xf numFmtId="0" fontId="7" fillId="3" borderId="3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3" fontId="1" fillId="3" borderId="6" xfId="0" quotePrefix="1" applyNumberFormat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3" fontId="1" fillId="3" borderId="4" xfId="0" quotePrefix="1" applyNumberFormat="1" applyFont="1" applyFill="1" applyBorder="1" applyAlignment="1">
      <alignment horizontal="center" vertical="center" wrapText="1" readingOrder="1"/>
    </xf>
    <xf numFmtId="3" fontId="1" fillId="3" borderId="5" xfId="0" quotePrefix="1" applyNumberFormat="1" applyFont="1" applyFill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25"/>
  <sheetViews>
    <sheetView tabSelected="1" topLeftCell="M1" zoomScale="115" zoomScaleNormal="115" workbookViewId="0">
      <selection activeCell="V4" sqref="V4"/>
    </sheetView>
  </sheetViews>
  <sheetFormatPr defaultColWidth="9.140625" defaultRowHeight="14.45"/>
  <cols>
    <col min="1" max="3" width="8.85546875" style="4"/>
    <col min="4" max="4" width="13.140625" style="4" customWidth="1"/>
    <col min="5" max="5" width="11.5703125" style="4" customWidth="1"/>
    <col min="6" max="6" width="11.140625" style="4" customWidth="1"/>
    <col min="7" max="7" width="20.7109375" style="4" customWidth="1"/>
    <col min="8" max="8" width="10.85546875" style="4" customWidth="1"/>
    <col min="9" max="9" width="13.85546875" style="4" customWidth="1"/>
    <col min="10" max="10" width="14.42578125" style="4" customWidth="1"/>
    <col min="11" max="11" width="10.140625" style="4" customWidth="1"/>
    <col min="12" max="12" width="9.140625" style="4"/>
    <col min="13" max="13" width="12" style="4" customWidth="1"/>
    <col min="14" max="14" width="11.28515625" style="4" customWidth="1"/>
    <col min="15" max="15" width="23.140625" style="4" customWidth="1"/>
    <col min="16" max="16" width="17.140625" style="4" customWidth="1"/>
    <col min="17" max="17" width="30.42578125" style="4" customWidth="1"/>
    <col min="18" max="18" width="12.42578125" style="4" customWidth="1"/>
    <col min="19" max="19" width="13.140625" style="4" customWidth="1"/>
    <col min="20" max="22" width="10.85546875" style="4" customWidth="1"/>
    <col min="23" max="23" width="12.140625" style="4" bestFit="1" customWidth="1"/>
    <col min="24" max="26" width="10.85546875" style="4" customWidth="1"/>
  </cols>
  <sheetData>
    <row r="1" spans="1:26" s="1" customFormat="1" ht="42.6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7" t="s">
        <v>23</v>
      </c>
      <c r="Y1" s="7" t="s">
        <v>24</v>
      </c>
      <c r="Z1" s="7" t="s">
        <v>25</v>
      </c>
    </row>
    <row r="2" spans="1:26" s="1" customFormat="1" ht="154.15" customHeight="1" thickBot="1">
      <c r="A2" s="6">
        <v>1</v>
      </c>
      <c r="B2" s="6" t="s">
        <v>26</v>
      </c>
      <c r="C2" s="16" t="s">
        <v>27</v>
      </c>
      <c r="D2" s="16" t="s">
        <v>28</v>
      </c>
      <c r="E2" s="16" t="s">
        <v>29</v>
      </c>
      <c r="F2" s="16" t="s">
        <v>30</v>
      </c>
      <c r="G2" s="16" t="s">
        <v>31</v>
      </c>
      <c r="H2" s="16" t="s">
        <v>32</v>
      </c>
      <c r="I2" s="16" t="s">
        <v>33</v>
      </c>
      <c r="J2" s="16" t="s">
        <v>34</v>
      </c>
      <c r="K2" s="16" t="s">
        <v>35</v>
      </c>
      <c r="L2" s="16" t="s">
        <v>36</v>
      </c>
      <c r="M2" s="16" t="s">
        <v>37</v>
      </c>
      <c r="N2" s="16" t="s">
        <v>38</v>
      </c>
      <c r="O2" s="12" t="s">
        <v>39</v>
      </c>
      <c r="P2" s="17" t="s">
        <v>40</v>
      </c>
      <c r="Q2" s="11" t="s">
        <v>41</v>
      </c>
      <c r="R2" s="9" t="s">
        <v>42</v>
      </c>
      <c r="S2" s="9" t="s">
        <v>43</v>
      </c>
      <c r="T2" s="9">
        <v>220000</v>
      </c>
      <c r="U2" s="9">
        <v>440000</v>
      </c>
      <c r="V2" s="5">
        <f>(0.6177-0.6772)*T2</f>
        <v>-13090</v>
      </c>
      <c r="W2" s="5">
        <f>(0.6177-0.6772)*U2</f>
        <v>-26180</v>
      </c>
      <c r="X2" s="9">
        <v>0</v>
      </c>
      <c r="Y2" s="6">
        <v>0</v>
      </c>
      <c r="Z2" s="10">
        <f>Y2-X2</f>
        <v>0</v>
      </c>
    </row>
    <row r="3" spans="1:26" s="1" customFormat="1" ht="77.45" customHeight="1" thickBot="1">
      <c r="A3" s="6">
        <v>2</v>
      </c>
      <c r="B3" s="6" t="s">
        <v>26</v>
      </c>
      <c r="C3" s="6" t="s">
        <v>27</v>
      </c>
      <c r="D3" s="6" t="s">
        <v>44</v>
      </c>
      <c r="E3" s="9" t="s">
        <v>45</v>
      </c>
      <c r="F3" s="9" t="s">
        <v>46</v>
      </c>
      <c r="G3" s="6" t="s">
        <v>47</v>
      </c>
      <c r="H3" s="6" t="s">
        <v>48</v>
      </c>
      <c r="I3" s="6" t="s">
        <v>49</v>
      </c>
      <c r="J3" s="6" t="s">
        <v>50</v>
      </c>
      <c r="K3" s="9" t="s">
        <v>51</v>
      </c>
      <c r="L3" s="9" t="s">
        <v>36</v>
      </c>
      <c r="M3" s="6" t="s">
        <v>52</v>
      </c>
      <c r="N3" s="6" t="s">
        <v>53</v>
      </c>
      <c r="O3" s="12" t="s">
        <v>54</v>
      </c>
      <c r="P3" s="17" t="s">
        <v>55</v>
      </c>
      <c r="Q3" s="11"/>
      <c r="R3" s="9" t="s">
        <v>56</v>
      </c>
      <c r="S3" s="9" t="s">
        <v>57</v>
      </c>
      <c r="T3" s="9">
        <v>88017</v>
      </c>
      <c r="U3" s="9">
        <v>880174</v>
      </c>
      <c r="V3" s="5">
        <f>(0.1494-0.1519)*T3</f>
        <v>-220.04250000000019</v>
      </c>
      <c r="W3" s="5">
        <f>(0.1494-0.1519)*U3</f>
        <v>-2200.4350000000018</v>
      </c>
      <c r="X3" s="9">
        <v>0</v>
      </c>
      <c r="Y3" s="6">
        <v>0</v>
      </c>
      <c r="Z3" s="10">
        <f>Y3-X3</f>
        <v>0</v>
      </c>
    </row>
    <row r="4" spans="1:26" s="1" customFormat="1" ht="40.15" customHeight="1" thickBot="1">
      <c r="A4" s="6">
        <v>3</v>
      </c>
      <c r="B4" s="6" t="s">
        <v>58</v>
      </c>
      <c r="C4" s="6" t="s">
        <v>27</v>
      </c>
      <c r="D4" s="6" t="s">
        <v>59</v>
      </c>
      <c r="E4" s="9" t="s">
        <v>60</v>
      </c>
      <c r="F4" s="9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9" t="s">
        <v>66</v>
      </c>
      <c r="L4" s="9" t="s">
        <v>36</v>
      </c>
      <c r="M4" s="15" t="s">
        <v>67</v>
      </c>
      <c r="N4" s="6" t="s">
        <v>68</v>
      </c>
      <c r="O4" s="12"/>
      <c r="P4" s="17" t="s">
        <v>55</v>
      </c>
      <c r="Q4" s="11" t="s">
        <v>69</v>
      </c>
      <c r="R4" s="9" t="s">
        <v>70</v>
      </c>
      <c r="S4" s="9" t="s">
        <v>71</v>
      </c>
      <c r="T4" s="9">
        <v>59557</v>
      </c>
      <c r="U4" s="9">
        <v>536012</v>
      </c>
      <c r="V4" s="5">
        <f>(0.7327-0.85)*T4</f>
        <v>-6986.0360999999975</v>
      </c>
      <c r="W4" s="5">
        <f>(0.7327-0.85)*U4</f>
        <v>-62874.20759999998</v>
      </c>
      <c r="X4" s="9">
        <v>0</v>
      </c>
      <c r="Y4" s="6">
        <v>0</v>
      </c>
      <c r="Z4" s="10">
        <f>Y4-X4</f>
        <v>0</v>
      </c>
    </row>
    <row r="5" spans="1:26" s="1" customFormat="1" ht="40.15" customHeight="1" thickBot="1">
      <c r="A5" s="18"/>
      <c r="B5" s="18"/>
      <c r="C5" s="6"/>
      <c r="D5" s="6"/>
      <c r="E5" s="9"/>
      <c r="F5" s="9"/>
      <c r="G5" s="14"/>
      <c r="H5" s="6"/>
      <c r="I5" s="6"/>
      <c r="J5" s="22"/>
      <c r="K5" s="20"/>
      <c r="L5" s="24"/>
      <c r="M5" s="6"/>
      <c r="N5" s="9"/>
      <c r="O5" s="12"/>
      <c r="P5" s="13"/>
      <c r="Q5" s="11"/>
      <c r="R5" s="9"/>
      <c r="S5" s="6"/>
      <c r="T5" s="9"/>
      <c r="U5" s="9"/>
      <c r="V5" s="5"/>
      <c r="W5" s="5"/>
      <c r="X5" s="9"/>
      <c r="Y5" s="6"/>
      <c r="Z5" s="10"/>
    </row>
    <row r="6" spans="1:26" s="1" customFormat="1" ht="40.15" customHeight="1" thickBot="1">
      <c r="A6" s="19"/>
      <c r="B6" s="19"/>
      <c r="C6" s="6"/>
      <c r="D6" s="6"/>
      <c r="E6" s="9"/>
      <c r="F6" s="9"/>
      <c r="G6" s="14"/>
      <c r="H6" s="6"/>
      <c r="I6" s="6"/>
      <c r="J6" s="23"/>
      <c r="K6" s="21"/>
      <c r="L6" s="25"/>
      <c r="M6" s="6"/>
      <c r="N6" s="9"/>
      <c r="O6" s="12"/>
      <c r="P6" s="13"/>
      <c r="Q6" s="11"/>
      <c r="R6" s="9"/>
      <c r="S6" s="6"/>
      <c r="T6" s="9"/>
      <c r="U6" s="9"/>
      <c r="V6" s="5"/>
      <c r="W6" s="5"/>
      <c r="X6" s="9"/>
      <c r="Y6" s="6"/>
      <c r="Z6" s="10"/>
    </row>
    <row r="7" spans="1:26" s="1" customFormat="1" ht="118.35" customHeight="1" thickBot="1">
      <c r="A7" s="6"/>
      <c r="B7" s="6"/>
      <c r="C7" s="6"/>
      <c r="D7" s="6"/>
      <c r="E7" s="9"/>
      <c r="F7" s="9"/>
      <c r="G7" s="6"/>
      <c r="H7" s="6"/>
      <c r="I7" s="6"/>
      <c r="J7" s="6"/>
      <c r="K7" s="9"/>
      <c r="L7" s="9"/>
      <c r="M7" s="6"/>
      <c r="N7" s="6"/>
      <c r="O7" s="12"/>
      <c r="P7" s="13"/>
      <c r="Q7" s="11"/>
      <c r="R7" s="9"/>
      <c r="S7" s="9"/>
      <c r="T7" s="9"/>
      <c r="U7" s="9"/>
      <c r="V7" s="5"/>
      <c r="W7" s="5"/>
      <c r="X7" s="9"/>
      <c r="Y7" s="6"/>
      <c r="Z7" s="10"/>
    </row>
    <row r="8" spans="1:26" s="1" customFormat="1" ht="118.35" customHeight="1" thickBot="1">
      <c r="A8" s="6"/>
      <c r="B8" s="6"/>
      <c r="C8" s="6"/>
      <c r="D8" s="6"/>
      <c r="E8" s="9"/>
      <c r="F8" s="9"/>
      <c r="G8" s="14"/>
      <c r="H8" s="6"/>
      <c r="I8" s="6"/>
      <c r="J8" s="6"/>
      <c r="K8" s="9"/>
      <c r="L8" s="9"/>
      <c r="M8" s="6"/>
      <c r="N8" s="6"/>
      <c r="O8" s="12"/>
      <c r="P8" s="13"/>
      <c r="Q8" s="11"/>
      <c r="R8" s="9"/>
      <c r="S8" s="6"/>
      <c r="T8" s="9"/>
      <c r="U8" s="9"/>
      <c r="V8" s="5"/>
      <c r="W8" s="5"/>
      <c r="X8" s="9"/>
      <c r="Y8" s="6"/>
      <c r="Z8" s="10"/>
    </row>
    <row r="9" spans="1:26" s="1" customFormat="1" ht="118.35" customHeight="1" thickBot="1">
      <c r="A9" s="6"/>
      <c r="B9" s="6"/>
      <c r="C9" s="6"/>
      <c r="D9" s="6"/>
      <c r="E9" s="9"/>
      <c r="F9" s="9"/>
      <c r="G9" s="14"/>
      <c r="H9" s="6"/>
      <c r="I9" s="6"/>
      <c r="J9" s="6"/>
      <c r="K9" s="9"/>
      <c r="L9" s="9"/>
      <c r="M9" s="6"/>
      <c r="N9" s="6"/>
      <c r="O9" s="12"/>
      <c r="P9" s="13"/>
      <c r="Q9" s="11"/>
      <c r="R9" s="9"/>
      <c r="S9" s="6"/>
      <c r="T9" s="9"/>
      <c r="U9" s="9"/>
      <c r="V9" s="5"/>
      <c r="W9" s="5"/>
      <c r="X9" s="9"/>
      <c r="Y9" s="6"/>
      <c r="Z9" s="10"/>
    </row>
    <row r="10" spans="1:26" s="1" customFormat="1" ht="42.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1" customFormat="1" ht="42.6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1" customFormat="1" ht="42.6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1" customFormat="1" ht="42.6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1" customFormat="1" ht="42.6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1" customFormat="1" ht="42.6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 ht="42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42.6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mergeCells count="5">
    <mergeCell ref="A5:A6"/>
    <mergeCell ref="B5:B6"/>
    <mergeCell ref="K5:K6"/>
    <mergeCell ref="J5:J6"/>
    <mergeCell ref="L5:L6"/>
  </mergeCells>
  <phoneticPr fontId="6" type="noConversion"/>
  <conditionalFormatting sqref="V1:V4 Z1:Z1048576 V10:V1048576">
    <cfRule type="cellIs" dxfId="4" priority="65" operator="lessThan">
      <formula>0</formula>
    </cfRule>
  </conditionalFormatting>
  <conditionalFormatting sqref="V2:W9">
    <cfRule type="cellIs" dxfId="3" priority="2" operator="greaterThan">
      <formula>0</formula>
    </cfRule>
    <cfRule type="cellIs" dxfId="2" priority="3" operator="lessThan">
      <formula>0</formula>
    </cfRule>
  </conditionalFormatting>
  <conditionalFormatting sqref="W3:W4">
    <cfRule type="cellIs" dxfId="1" priority="1" operator="lessThan">
      <formula>0</formula>
    </cfRule>
  </conditionalFormatting>
  <conditionalFormatting sqref="Z2:Z9">
    <cfRule type="cellIs" dxfId="0" priority="14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E94798D0E7D4487CB84FC9A87565D" ma:contentTypeVersion="10" ma:contentTypeDescription="Create a new document." ma:contentTypeScope="" ma:versionID="43578f701e86689ec676730cb0ad04f6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8ca8914e6833cdc63204807a2b0cd05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0B2DC6-D26B-4F02-869A-613DDBED2DE0}"/>
</file>

<file path=customXml/itemProps2.xml><?xml version="1.0" encoding="utf-8"?>
<ds:datastoreItem xmlns:ds="http://schemas.openxmlformats.org/officeDocument/2006/customXml" ds:itemID="{A698069A-64B5-4062-A1D4-7CDACAD9F085}"/>
</file>

<file path=customXml/itemProps3.xml><?xml version="1.0" encoding="utf-8"?>
<ds:datastoreItem xmlns:ds="http://schemas.openxmlformats.org/officeDocument/2006/customXml" ds:itemID="{3831A730-D6FF-4813-9C41-4A7656D93F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RVNA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Xiangwei Chen ALF RPSBE1</dc:creator>
  <cp:keywords/>
  <dc:description/>
  <cp:lastModifiedBy>Carrie Wang WSH RPSB</cp:lastModifiedBy>
  <cp:revision/>
  <dcterms:created xsi:type="dcterms:W3CDTF">2025-09-02T13:26:50Z</dcterms:created>
  <dcterms:modified xsi:type="dcterms:W3CDTF">2026-08-19T18:06:05Z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  <property fmtid="{D5CDD505-2E9C-101B-9397-08002B2CF9AE}" pid="11" name="MediaServiceImageTags">
    <vt:lpwstr/>
  </property>
</Properties>
</file>