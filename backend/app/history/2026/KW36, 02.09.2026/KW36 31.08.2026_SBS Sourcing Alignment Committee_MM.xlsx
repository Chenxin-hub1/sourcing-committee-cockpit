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36, 02.09.2026/"/>
    </mc:Choice>
  </mc:AlternateContent>
  <xr:revisionPtr revIDLastSave="0" documentId="8_{FA577B70-97D9-4D4D-8BA7-BF2E44026108}" xr6:coauthVersionLast="47" xr6:coauthVersionMax="47" xr10:uidLastSave="{00000000-0000-0000-0000-000000000000}"/>
  <bookViews>
    <workbookView xWindow="28680" yWindow="-120" windowWidth="29040" windowHeight="15720" xr2:uid="{00000000-000D-0000-FFFF-FFFF00000000}"/>
  </bookViews>
  <sheets>
    <sheet name="KW32, 2026"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4" l="1"/>
  <c r="V2" i="4"/>
  <c r="Z2" i="4"/>
  <c r="Z5" i="4"/>
  <c r="W5" i="4"/>
  <c r="V5" i="4"/>
  <c r="W4" i="4"/>
  <c r="V4" i="4"/>
  <c r="W3" i="4"/>
  <c r="V3" i="4"/>
  <c r="Z3" i="4"/>
</calcChain>
</file>

<file path=xl/sharedStrings.xml><?xml version="1.0" encoding="utf-8"?>
<sst xmlns="http://schemas.openxmlformats.org/spreadsheetml/2006/main" count="98" uniqueCount="84">
  <si>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</si>
  <si>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</si>
  <si>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</si>
  <si>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</si>
  <si>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</si>
  <si>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</si>
  <si>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</si>
  <si>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</si>
  <si>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</si>
  <si>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</si>
  <si>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</si>
  <si>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</si>
  <si>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</si>
  <si>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</si>
  <si>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</si>
  <si>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</si>
  <si>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</si>
  <si>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</si>
  <si>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</si>
  <si>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</si>
  <si>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</si>
  <si>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</si>
  <si>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</si>
  <si>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</si>
  <si>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</si>
  <si>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</si>
  <si>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New</t>
  </si>
  <si>
    <t>SC</t>
  </si>
  <si>
    <t>L4</t>
  </si>
  <si>
    <t>110000035611</t>
  </si>
  <si>
    <t>AP</t>
  </si>
  <si>
    <t>MBEAL
Family 8.SE</t>
  </si>
  <si>
    <t>SC03003
Compression Springs</t>
  </si>
  <si>
    <t>SPRING, COMPRESSION CYLINDRICAL CONSTANT</t>
  </si>
  <si>
    <t>R004G887</t>
  </si>
  <si>
    <t>Dongguan Eastern Rainbow Precision Metal</t>
  </si>
  <si>
    <t>Mihael Baldi</t>
  </si>
  <si>
    <t>2K Euro</t>
  </si>
  <si>
    <t>0,3K Euro</t>
  </si>
  <si>
    <t>0,058 Euro/pc
0,456 RMB/pc</t>
  </si>
  <si>
    <t>1. Approved by Family 8.SE team.</t>
  </si>
  <si>
    <t>Approved offline KW34</t>
  </si>
  <si>
    <t>110000035268</t>
  </si>
  <si>
    <t>110000034874</t>
  </si>
  <si>
    <t>SC03003 Compression Springs</t>
  </si>
  <si>
    <t>SPRING, FLAT-SHEET RETRACTOR</t>
  </si>
  <si>
    <t>R004G661A</t>
  </si>
  <si>
    <t>CGR springs (Jiaxing) Co., Ltd.</t>
  </si>
  <si>
    <t>4K Euro</t>
  </si>
  <si>
    <t>0,008 Euro/pc
0,061 RMB/pc</t>
  </si>
  <si>
    <t>Wendy Li</t>
  </si>
  <si>
    <t>Suzhou Cheersson Precision Industry</t>
  </si>
  <si>
    <t>R003C596A</t>
  </si>
  <si>
    <t>HOUSING, RETRACTOR-PRETENSIONER</t>
  </si>
  <si>
    <t>SC06007 Deep Drawing I Medium</t>
  </si>
  <si>
    <t xml:space="preserve">37K Euro </t>
  </si>
  <si>
    <t>0,7K Euro</t>
  </si>
  <si>
    <t>220K Euro</t>
  </si>
  <si>
    <t>35443 Euro 280000 RMB</t>
  </si>
  <si>
    <t>R004D369A</t>
  </si>
  <si>
    <t>L2</t>
  </si>
  <si>
    <t>0,11 Euro/pc 
0.83 RMB/pc</t>
  </si>
  <si>
    <t>0,02 Euro/pc  
0,13 RMB/pc</t>
  </si>
  <si>
    <t>5696 Euro  45000 RMB</t>
  </si>
  <si>
    <t>1. Allocation into 61,352 pcs of MBEAL 3 years volume
2. Approved by Family 8.SE team.</t>
  </si>
  <si>
    <t>1.Allocation into 71,928 pcs of MBEAL 2 years volume.
2. Approved by Family 8.SE team</t>
  </si>
  <si>
    <t>0,3570 Euro/pc
2,82 RMB/pc</t>
  </si>
  <si>
    <t>0,25 Euro/pc
1,968 RMB/pc</t>
  </si>
  <si>
    <t>44303 Euro 
350000 RMB</t>
  </si>
  <si>
    <t>GCS</t>
  </si>
  <si>
    <t>MB MRA2
ACR8</t>
  </si>
  <si>
    <t>EA</t>
  </si>
  <si>
    <t>EA05001
Electric Motors</t>
  </si>
  <si>
    <t>110000035759</t>
  </si>
  <si>
    <t>MOTOR, DC BRUSHED ACR</t>
  </si>
  <si>
    <t>Wuxi MI Technologies Co., Ltd.</t>
  </si>
  <si>
    <t>Chenfei Wang</t>
  </si>
  <si>
    <t>1,5Mio Euro</t>
  </si>
  <si>
    <t>4,3Mio Euro</t>
  </si>
  <si>
    <t>2,631 Euro/pc
20,785 RMB/pc</t>
  </si>
  <si>
    <t>2,443 Euro/pc
19,3 RMB/pc</t>
  </si>
  <si>
    <t xml:space="preserve">Approved </t>
  </si>
  <si>
    <t xml:space="preserve">1. Overall tooling &amp; testing cost 1,35 Mio RMB has been approved by PRPO from new project VW CMP21D
Amortization volume is 1,000,000pcs, amortization 1.35 RMB/pc
2. Incoterm: DAP ZJG plant
3. Consignment signed by Wuxi MI for ZJG plant
4. Free capa available from Wuxi MI to be considered and applied in new project e.g. VW 241 and other projects from EU.
5. VAVE CQA Gate 2 approved. 
6. LTA available from suppliers Wuxi MI, JE, but not from Mabuchi. Good strategy to involve a 3rd supplier for Motor for capa and driving competitveness.
</t>
  </si>
  <si>
    <t>1. BPG not available, as it is built to spec, no drawing available.
QAF to be checked with CE.
QAF from Mabuchi and JE not available, QAF from Wuxi MI would be sent to CE for a check.
--SP Chenfei, CE Jacek.
2. Further VAVE saving opportunities: To use pinon from sub-supplier Silent instead of Autocam to achieve another 0,15 RMB/pc of saving. --VAVE Chenny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</si>
</sst>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43" formatCode="_-* #,##0.00_-;\-* #,##0.00_-;_-* &quot;-&quot;??_-;_-@_-"/>
    <numFmt numFmtId="164" formatCode="#,##0\ [$€-407];\-#,##0\ [$€-407]"/>
    <numFmt numFmtId="165" formatCode="_-* #,##0\ &quot;€&quot;_-;\-* #,##0\ &quot;€&quot;_-;_-* &quot;-&quot;??\ &quot;€&quot;_-;_-@_-"/>
    <numFmt numFmtId="166" formatCode="_-* #,##0_-;\-* #,##0_-;_-* &quot;-&quot;??_-;_-@_-"/>
  </numFmts>
  <fonts count="12"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b/>
      <sz val="8"/>
      <color rgb="FF00B050"/>
      <name val="Arial"/>
      <family val="2"/>
    </font>
    <font>
      <sz val="8"/>
      <color rgb="FFFF0000"/>
      <name val="Arial"/>
      <family val="2"/>
    </font>
    <font>
      <sz val="8"/>
      <name val="Arial"/>
      <family val="2"/>
    </font>
    <font>
      <sz val="11"/>
      <color theme="1"/>
      <name val="Calibri"/>
      <family val="2"/>
      <scheme val="minor"/>
    </font>
    <font>
      <sz val="8"/>
      <color theme="1"/>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6">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rgb="FFFFFFFF"/>
      </left>
      <right style="medium">
        <color theme="0"/>
      </right>
      <top style="medium">
        <color theme="0"/>
      </top>
      <bottom/>
      <diagonal/>
    </border>
    <border>
      <left/>
      <right style="medium">
        <color rgb="FFFFFFFF"/>
      </right>
      <top/>
      <bottom style="medium">
        <color rgb="FFFFFFFF"/>
      </bottom>
      <diagonal/>
    </border>
  </borders>
  <cellStyleXfs count="3">
    <xf numFmtId="0" fontId="0" fillId="0" borderId="0"/>
    <xf numFmtId="0" fontId="3" fillId="5" borderId="0" applyNumberFormat="0" applyBorder="0" applyAlignment="0" applyProtection="0"/>
    <xf numFmtId="43" fontId="10" fillId="0" borderId="0" applyFont="0" applyFill="0" applyBorder="0" applyAlignment="0" applyProtection="0"/>
  </cellStyleXfs>
  <cellXfs count="26">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4" fontId="1" fillId="3" borderId="3" xfId="0" quotePrefix="1" applyNumberFormat="1" applyFont="1" applyFill="1" applyBorder="1" applyAlignment="1">
      <alignment horizontal="center" vertical="center" wrapText="1" readingOrder="1"/>
    </xf>
    <xf numFmtId="0" fontId="1" fillId="3" borderId="5" xfId="0" applyFont="1" applyFill="1" applyBorder="1" applyAlignment="1">
      <alignment horizontal="center" vertical="center" wrapText="1"/>
    </xf>
    <xf numFmtId="0" fontId="7" fillId="3" borderId="3" xfId="0" quotePrefix="1" applyFont="1" applyFill="1" applyBorder="1" applyAlignment="1">
      <alignment horizontal="center" vertical="center" wrapText="1" readingOrder="1"/>
    </xf>
    <xf numFmtId="165" fontId="4" fillId="5" borderId="3" xfId="1" quotePrefix="1" applyNumberFormat="1" applyFont="1" applyBorder="1" applyAlignment="1">
      <alignment horizontal="center" vertical="center" wrapText="1" readingOrder="1"/>
    </xf>
    <xf numFmtId="165" fontId="8" fillId="5" borderId="3" xfId="1" quotePrefix="1" applyNumberFormat="1" applyFont="1" applyBorder="1" applyAlignment="1">
      <alignment horizontal="center" vertical="center" wrapText="1" readingOrder="1"/>
    </xf>
    <xf numFmtId="0" fontId="1" fillId="3" borderId="4" xfId="0" quotePrefix="1" applyFont="1" applyFill="1" applyBorder="1" applyAlignment="1">
      <alignment vertical="center" wrapText="1" readingOrder="1"/>
    </xf>
    <xf numFmtId="3" fontId="9" fillId="3" borderId="3" xfId="0" quotePrefix="1" applyNumberFormat="1" applyFont="1" applyFill="1" applyBorder="1" applyAlignment="1">
      <alignment horizontal="center" vertical="center" wrapText="1" readingOrder="1"/>
    </xf>
    <xf numFmtId="164" fontId="9" fillId="5" borderId="3" xfId="1" quotePrefix="1" applyNumberFormat="1" applyFont="1" applyBorder="1" applyAlignment="1">
      <alignment horizontal="center" vertical="center" wrapText="1" readingOrder="1"/>
    </xf>
    <xf numFmtId="166" fontId="1" fillId="3" borderId="3" xfId="2" quotePrefix="1" applyNumberFormat="1" applyFont="1" applyFill="1" applyBorder="1" applyAlignment="1">
      <alignment horizontal="center" vertical="center" wrapText="1" readingOrder="1"/>
    </xf>
    <xf numFmtId="3" fontId="11" fillId="3" borderId="3" xfId="0" quotePrefix="1" applyNumberFormat="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xf>
  </cellXfs>
  <cellStyles count="3">
    <cellStyle name="Comma" xfId="2" builtinId="3"/>
    <cellStyle name="Good" xfId="1" builtinId="26"/>
    <cellStyle name="Normal" xfId="0" builtinId="0"/>
  </cellStyles>
  <dxfs count="6">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8"/>
  <sheetViews>
    <sheetView tabSelected="1" topLeftCell="D1" zoomScale="115" zoomScaleNormal="115" workbookViewId="0">
      <selection activeCell="Q5" sqref="Q5"/>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3.77734375" style="4" customWidth="1"/>
    <col min="9" max="9" width="13.88671875" style="4" customWidth="1"/>
    <col min="10" max="10" width="14.44140625" style="4" customWidth="1"/>
    <col min="11" max="11" width="10.109375" style="4" customWidth="1"/>
    <col min="12" max="12" width="9.109375" style="4" customWidth="1"/>
    <col min="13" max="13" width="12" style="4" customWidth="1"/>
    <col min="14" max="14" width="11.33203125" style="4" customWidth="1"/>
    <col min="15" max="15" width="33.44140625" style="4" customWidth="1"/>
    <col min="16" max="16" width="17.109375" style="4" customWidth="1"/>
    <col min="17" max="17" width="30.44140625" style="4" customWidth="1"/>
    <col min="18" max="18" width="12.44140625" style="4" customWidth="1"/>
    <col min="19" max="19" width="13.109375" style="4" customWidth="1"/>
    <col min="20" max="21" width="10.88671875" style="4" customWidth="1"/>
    <col min="22" max="22" width="16.33203125" style="4" customWidth="1"/>
    <col min="23" max="23" width="12.109375" style="4" bestFit="1" customWidth="1"/>
    <col min="24" max="24" width="13.5546875" style="4" customWidth="1"/>
    <col min="25" max="26" width="10.88671875" style="4" customWidth="1"/>
  </cols>
  <sheetData>
    <row r="1" spans="1:26" s="1" customFormat="1" ht="42.6" customHeight="1" thickBot="1" x14ac:dyDescent="0.35">
      <c r="A1" s="2" t="s">
        <v>0</v>
      </c>
      <c r="B1" s="2" t="s">
        <v>1</v>
      </c>
      <c r="C1" s="2" t="s">
        <v>2</v>
      </c>
      <c r="D1" s="2" t="s">
        <v>4</v>
      </c>
      <c r="E1" s="2" t="s">
        <v>5</v>
      </c>
      <c r="F1" s="2" t="s">
        <v>15</v>
      </c>
      <c r="G1" s="2" t="s">
        <v>9</v>
      </c>
      <c r="H1" s="2" t="s">
        <v>13</v>
      </c>
      <c r="I1" s="2" t="s">
        <v>10</v>
      </c>
      <c r="J1" s="2" t="s">
        <v>11</v>
      </c>
      <c r="K1" s="2" t="s">
        <v>6</v>
      </c>
      <c r="L1" s="2" t="s">
        <v>7</v>
      </c>
      <c r="M1" s="2" t="s">
        <v>8</v>
      </c>
      <c r="N1" s="2" t="s">
        <v>3</v>
      </c>
      <c r="O1" s="2" t="s">
        <v>25</v>
      </c>
      <c r="P1" s="2" t="s">
        <v>12</v>
      </c>
      <c r="Q1" s="2" t="s">
        <v>14</v>
      </c>
      <c r="R1" s="7" t="s">
        <v>16</v>
      </c>
      <c r="S1" s="7" t="s">
        <v>17</v>
      </c>
      <c r="T1" s="8" t="s">
        <v>18</v>
      </c>
      <c r="U1" s="8" t="s">
        <v>19</v>
      </c>
      <c r="V1" s="8" t="s">
        <v>22</v>
      </c>
      <c r="W1" s="8" t="s">
        <v>20</v>
      </c>
      <c r="X1" s="7" t="s">
        <v>23</v>
      </c>
      <c r="Y1" s="7" t="s">
        <v>21</v>
      </c>
      <c r="Z1" s="7" t="s">
        <v>24</v>
      </c>
    </row>
    <row r="2" spans="1:26" s="1" customFormat="1" ht="167.4" customHeight="1" thickBot="1" x14ac:dyDescent="0.35">
      <c r="A2" s="16">
        <v>1</v>
      </c>
      <c r="B2" s="16" t="s">
        <v>30</v>
      </c>
      <c r="C2" s="16" t="s">
        <v>69</v>
      </c>
      <c r="D2" s="16" t="s">
        <v>70</v>
      </c>
      <c r="E2" s="16" t="s">
        <v>71</v>
      </c>
      <c r="F2" s="16" t="s">
        <v>72</v>
      </c>
      <c r="G2" s="25" t="s">
        <v>73</v>
      </c>
      <c r="H2" s="16" t="s">
        <v>74</v>
      </c>
      <c r="I2" s="16" t="s">
        <v>59</v>
      </c>
      <c r="J2" s="6" t="s">
        <v>75</v>
      </c>
      <c r="K2" s="9" t="s">
        <v>76</v>
      </c>
      <c r="L2" s="9" t="s">
        <v>60</v>
      </c>
      <c r="M2" s="16" t="s">
        <v>77</v>
      </c>
      <c r="N2" s="16" t="s">
        <v>78</v>
      </c>
      <c r="O2" s="20" t="s">
        <v>82</v>
      </c>
      <c r="P2" s="17" t="s">
        <v>81</v>
      </c>
      <c r="Q2" s="11" t="s">
        <v>83</v>
      </c>
      <c r="R2" s="21" t="s">
        <v>79</v>
      </c>
      <c r="S2" s="21" t="s">
        <v>80</v>
      </c>
      <c r="T2" s="9">
        <v>347007</v>
      </c>
      <c r="U2" s="9">
        <v>1735036</v>
      </c>
      <c r="V2" s="5">
        <f>(2.443-2.631)*T2</f>
        <v>-65237.315999999904</v>
      </c>
      <c r="W2" s="5">
        <f>(2.443-2.631)*U2</f>
        <v>-326186.76799999952</v>
      </c>
      <c r="X2" s="23">
        <v>0</v>
      </c>
      <c r="Y2" s="23">
        <v>0</v>
      </c>
      <c r="Z2" s="10">
        <f t="shared" ref="Z2" si="0">Y2-X2</f>
        <v>0</v>
      </c>
    </row>
    <row r="3" spans="1:26" s="1" customFormat="1" ht="55.2" customHeight="1" thickBot="1" x14ac:dyDescent="0.35">
      <c r="A3" s="6">
        <v>2</v>
      </c>
      <c r="B3" s="6" t="s">
        <v>30</v>
      </c>
      <c r="C3" s="16" t="s">
        <v>26</v>
      </c>
      <c r="D3" s="16" t="s">
        <v>31</v>
      </c>
      <c r="E3" s="9" t="s">
        <v>27</v>
      </c>
      <c r="F3" s="9" t="s">
        <v>32</v>
      </c>
      <c r="G3" s="6" t="s">
        <v>29</v>
      </c>
      <c r="H3" s="6" t="s">
        <v>33</v>
      </c>
      <c r="I3" s="6" t="s">
        <v>34</v>
      </c>
      <c r="J3" s="6" t="s">
        <v>35</v>
      </c>
      <c r="K3" s="9" t="s">
        <v>36</v>
      </c>
      <c r="L3" s="9" t="s">
        <v>28</v>
      </c>
      <c r="M3" s="6" t="s">
        <v>38</v>
      </c>
      <c r="N3" s="6" t="s">
        <v>37</v>
      </c>
      <c r="O3" s="20" t="s">
        <v>40</v>
      </c>
      <c r="P3" s="17" t="s">
        <v>41</v>
      </c>
      <c r="Q3" s="6"/>
      <c r="R3" s="21" t="s">
        <v>39</v>
      </c>
      <c r="S3" s="21" t="s">
        <v>49</v>
      </c>
      <c r="T3" s="21">
        <v>28163</v>
      </c>
      <c r="U3" s="21">
        <v>253464</v>
      </c>
      <c r="V3" s="22">
        <f>(0.008-0.058)*T3</f>
        <v>-1408.15</v>
      </c>
      <c r="W3" s="22">
        <f>(0.008-0.058)*U3</f>
        <v>-12673.2</v>
      </c>
      <c r="X3" s="24">
        <v>0</v>
      </c>
      <c r="Y3" s="24">
        <v>0</v>
      </c>
      <c r="Z3" s="19">
        <f t="shared" ref="Z3" si="1">Y3-X3</f>
        <v>0</v>
      </c>
    </row>
    <row r="4" spans="1:26" s="1" customFormat="1" ht="45" customHeight="1" thickBot="1" x14ac:dyDescent="0.35">
      <c r="A4" s="6">
        <v>3</v>
      </c>
      <c r="B4" s="6" t="s">
        <v>30</v>
      </c>
      <c r="C4" s="16" t="s">
        <v>26</v>
      </c>
      <c r="D4" s="16" t="s">
        <v>31</v>
      </c>
      <c r="E4" s="9" t="s">
        <v>27</v>
      </c>
      <c r="F4" s="9" t="s">
        <v>44</v>
      </c>
      <c r="G4" s="6" t="s">
        <v>42</v>
      </c>
      <c r="H4" s="6" t="s">
        <v>45</v>
      </c>
      <c r="I4" s="6" t="s">
        <v>46</v>
      </c>
      <c r="J4" s="6" t="s">
        <v>47</v>
      </c>
      <c r="K4" s="9" t="s">
        <v>36</v>
      </c>
      <c r="L4" s="9" t="s">
        <v>28</v>
      </c>
      <c r="M4" s="6" t="s">
        <v>56</v>
      </c>
      <c r="N4" s="6" t="s">
        <v>48</v>
      </c>
      <c r="O4" s="20" t="s">
        <v>64</v>
      </c>
      <c r="P4" s="17" t="s">
        <v>41</v>
      </c>
      <c r="Q4" s="11"/>
      <c r="R4" s="21" t="s">
        <v>61</v>
      </c>
      <c r="S4" s="21" t="s">
        <v>62</v>
      </c>
      <c r="T4" s="21">
        <v>28163</v>
      </c>
      <c r="U4" s="21">
        <v>253464</v>
      </c>
      <c r="V4" s="22">
        <f>(0.02-0.11)*T4</f>
        <v>-2534.67</v>
      </c>
      <c r="W4" s="22">
        <f>(0.02-0.11)*U4</f>
        <v>-22811.759999999998</v>
      </c>
      <c r="X4" s="24">
        <v>0</v>
      </c>
      <c r="Y4" s="24" t="s">
        <v>63</v>
      </c>
      <c r="Z4" s="19">
        <v>5696</v>
      </c>
    </row>
    <row r="5" spans="1:26" s="1" customFormat="1" ht="45" customHeight="1" thickBot="1" x14ac:dyDescent="0.35">
      <c r="A5" s="6">
        <v>4</v>
      </c>
      <c r="B5" s="6" t="s">
        <v>30</v>
      </c>
      <c r="C5" s="16" t="s">
        <v>26</v>
      </c>
      <c r="D5" s="16" t="s">
        <v>31</v>
      </c>
      <c r="E5" s="9" t="s">
        <v>27</v>
      </c>
      <c r="F5" s="9" t="s">
        <v>54</v>
      </c>
      <c r="G5" s="6" t="s">
        <v>43</v>
      </c>
      <c r="H5" s="6" t="s">
        <v>53</v>
      </c>
      <c r="I5" s="6" t="s">
        <v>52</v>
      </c>
      <c r="J5" s="6" t="s">
        <v>51</v>
      </c>
      <c r="K5" s="9" t="s">
        <v>50</v>
      </c>
      <c r="L5" s="9" t="s">
        <v>28</v>
      </c>
      <c r="M5" s="15" t="s">
        <v>55</v>
      </c>
      <c r="N5" s="6" t="s">
        <v>57</v>
      </c>
      <c r="O5" s="20" t="s">
        <v>65</v>
      </c>
      <c r="P5" s="17" t="s">
        <v>41</v>
      </c>
      <c r="Q5" s="11"/>
      <c r="R5" s="21" t="s">
        <v>66</v>
      </c>
      <c r="S5" s="21" t="s">
        <v>67</v>
      </c>
      <c r="T5" s="21">
        <v>88017</v>
      </c>
      <c r="U5" s="21">
        <v>880174</v>
      </c>
      <c r="V5" s="22">
        <f>(0.25-0.357)*T5</f>
        <v>-9417.8189999999977</v>
      </c>
      <c r="W5" s="22">
        <f>(0.25-0.357)*U5</f>
        <v>-94178.617999999988</v>
      </c>
      <c r="X5" s="24" t="s">
        <v>68</v>
      </c>
      <c r="Y5" s="24" t="s">
        <v>58</v>
      </c>
      <c r="Z5" s="19">
        <f>35443-44303</f>
        <v>-8860</v>
      </c>
    </row>
    <row r="6" spans="1:26" s="1" customFormat="1" ht="45" customHeight="1" thickBot="1" x14ac:dyDescent="0.35">
      <c r="A6" s="6"/>
      <c r="B6" s="6"/>
      <c r="C6" s="6"/>
      <c r="D6" s="6"/>
      <c r="E6" s="9"/>
      <c r="F6" s="9"/>
      <c r="G6" s="14"/>
      <c r="H6" s="6"/>
      <c r="I6" s="6"/>
      <c r="J6" s="6"/>
      <c r="K6" s="9"/>
      <c r="L6" s="9"/>
      <c r="M6" s="6"/>
      <c r="N6" s="6"/>
      <c r="O6" s="20"/>
      <c r="P6" s="17"/>
      <c r="Q6" s="6"/>
      <c r="R6" s="11"/>
      <c r="S6" s="11"/>
      <c r="T6" s="9"/>
      <c r="U6" s="9"/>
      <c r="V6" s="5"/>
      <c r="W6" s="5"/>
      <c r="X6" s="9"/>
      <c r="Y6" s="6"/>
      <c r="Z6" s="10"/>
    </row>
    <row r="7" spans="1:26" s="1" customFormat="1" ht="45" customHeight="1" thickBot="1" x14ac:dyDescent="0.35">
      <c r="A7" s="6"/>
      <c r="B7" s="6"/>
      <c r="C7" s="6"/>
      <c r="D7" s="6"/>
      <c r="E7" s="9"/>
      <c r="F7" s="9"/>
      <c r="G7" s="14"/>
      <c r="H7" s="6"/>
      <c r="I7" s="6"/>
      <c r="J7" s="6"/>
      <c r="K7" s="9"/>
      <c r="L7" s="9"/>
      <c r="M7" s="6"/>
      <c r="N7" s="6"/>
      <c r="O7" s="20"/>
      <c r="P7" s="17"/>
      <c r="Q7" s="11"/>
      <c r="R7" s="11"/>
      <c r="S7" s="11"/>
      <c r="T7" s="9"/>
      <c r="U7" s="9"/>
      <c r="V7" s="5"/>
      <c r="W7" s="5"/>
      <c r="X7" s="9"/>
      <c r="Y7" s="6"/>
      <c r="Z7" s="10"/>
    </row>
    <row r="8" spans="1:26" s="1" customFormat="1" ht="45" customHeight="1" thickBot="1" x14ac:dyDescent="0.35">
      <c r="A8" s="6"/>
      <c r="B8" s="6"/>
      <c r="C8" s="6"/>
      <c r="D8" s="6"/>
      <c r="E8" s="9"/>
      <c r="F8" s="9"/>
      <c r="G8" s="14"/>
      <c r="H8" s="6"/>
      <c r="I8" s="6"/>
      <c r="J8" s="6"/>
      <c r="K8" s="9"/>
      <c r="L8" s="9"/>
      <c r="M8" s="6"/>
      <c r="N8" s="6"/>
      <c r="O8" s="20"/>
      <c r="P8" s="17"/>
      <c r="Q8" s="11"/>
      <c r="R8" s="11"/>
      <c r="S8" s="11"/>
      <c r="T8" s="9"/>
      <c r="U8" s="9"/>
      <c r="V8" s="5"/>
      <c r="W8" s="5"/>
      <c r="X8" s="9"/>
      <c r="Y8" s="6"/>
      <c r="Z8" s="10"/>
    </row>
    <row r="9" spans="1:26" s="1" customFormat="1" ht="45" customHeight="1" thickBot="1" x14ac:dyDescent="0.35">
      <c r="A9" s="6"/>
      <c r="B9" s="6"/>
      <c r="C9" s="6"/>
      <c r="D9" s="6"/>
      <c r="E9" s="9"/>
      <c r="F9" s="9"/>
      <c r="G9" s="14"/>
      <c r="H9" s="6"/>
      <c r="I9" s="6"/>
      <c r="J9" s="6"/>
      <c r="K9" s="9"/>
      <c r="L9" s="9"/>
      <c r="M9" s="6"/>
      <c r="N9" s="6"/>
      <c r="O9" s="20"/>
      <c r="P9" s="17"/>
      <c r="Q9" s="6"/>
      <c r="R9" s="11"/>
      <c r="S9" s="11"/>
      <c r="T9" s="9"/>
      <c r="U9" s="9"/>
      <c r="V9" s="5"/>
      <c r="W9" s="5"/>
      <c r="X9" s="9"/>
      <c r="Y9" s="6"/>
      <c r="Z9" s="10"/>
    </row>
    <row r="10" spans="1:26" s="1" customFormat="1" ht="45" customHeight="1" thickBot="1" x14ac:dyDescent="0.35">
      <c r="A10" s="6"/>
      <c r="B10" s="6"/>
      <c r="C10" s="16"/>
      <c r="D10" s="16"/>
      <c r="E10" s="9"/>
      <c r="F10" s="9"/>
      <c r="G10" s="6"/>
      <c r="H10" s="6"/>
      <c r="I10" s="6"/>
      <c r="J10" s="6"/>
      <c r="K10" s="9"/>
      <c r="L10" s="9"/>
      <c r="M10" s="6"/>
      <c r="N10" s="6"/>
      <c r="O10" s="20"/>
      <c r="P10" s="17"/>
      <c r="Q10" s="6"/>
      <c r="R10" s="9"/>
      <c r="S10" s="9"/>
      <c r="T10" s="9"/>
      <c r="U10" s="9"/>
      <c r="V10" s="5"/>
      <c r="W10" s="5"/>
      <c r="X10" s="9"/>
      <c r="Y10" s="9"/>
      <c r="Z10" s="18"/>
    </row>
    <row r="11" spans="1:26" s="1" customFormat="1" ht="45" customHeight="1" thickBot="1" x14ac:dyDescent="0.35">
      <c r="A11" s="6"/>
      <c r="B11" s="6"/>
      <c r="C11" s="16"/>
      <c r="D11" s="16"/>
      <c r="E11" s="9"/>
      <c r="F11" s="9"/>
      <c r="G11" s="6"/>
      <c r="H11" s="6"/>
      <c r="I11" s="6"/>
      <c r="J11" s="6"/>
      <c r="K11" s="9"/>
      <c r="L11" s="9"/>
      <c r="M11" s="6"/>
      <c r="N11" s="6"/>
      <c r="O11" s="20"/>
      <c r="P11" s="17"/>
      <c r="Q11" s="11"/>
      <c r="R11" s="9"/>
      <c r="S11" s="9"/>
      <c r="T11" s="9"/>
      <c r="U11" s="9"/>
      <c r="V11" s="5"/>
      <c r="W11" s="5"/>
      <c r="X11" s="9"/>
      <c r="Y11" s="9"/>
      <c r="Z11" s="18"/>
    </row>
    <row r="12" spans="1:26" s="1" customFormat="1" ht="46.95" customHeight="1" thickBot="1" x14ac:dyDescent="0.35">
      <c r="A12" s="6"/>
      <c r="B12" s="6"/>
      <c r="C12" s="6"/>
      <c r="D12" s="6"/>
      <c r="E12" s="9"/>
      <c r="F12" s="9"/>
      <c r="G12" s="14"/>
      <c r="H12" s="6"/>
      <c r="I12" s="6"/>
      <c r="J12" s="6"/>
      <c r="K12" s="9"/>
      <c r="L12" s="9"/>
      <c r="M12" s="6"/>
      <c r="N12" s="6"/>
      <c r="O12" s="12"/>
      <c r="P12" s="13"/>
      <c r="Q12" s="11"/>
      <c r="R12" s="9"/>
      <c r="S12" s="6"/>
      <c r="T12" s="9"/>
      <c r="U12" s="9"/>
      <c r="V12" s="5"/>
      <c r="W12" s="5"/>
      <c r="X12" s="9"/>
      <c r="Y12" s="6"/>
      <c r="Z12" s="10"/>
    </row>
    <row r="13" spans="1:26" s="1" customFormat="1" ht="42.6"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1" customFormat="1" ht="42.6"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1" customFormat="1" ht="42.6"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1" customFormat="1" ht="4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1" customFormat="1" ht="42.6"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sheetData>
  <phoneticPr fontId="6" type="noConversion"/>
  <conditionalFormatting sqref="V1:V2 Z1:Z1048576">
    <cfRule type="cellIs" dxfId="5" priority="9" operator="lessThan">
      <formula>0</formula>
    </cfRule>
  </conditionalFormatting>
  <conditionalFormatting sqref="V13:V1048576">
    <cfRule type="cellIs" dxfId="4" priority="80" operator="lessThan">
      <formula>0</formula>
    </cfRule>
  </conditionalFormatting>
  <conditionalFormatting sqref="V2:W12">
    <cfRule type="cellIs" dxfId="3" priority="2" operator="greaterThan">
      <formula>0</formula>
    </cfRule>
    <cfRule type="cellIs" dxfId="2" priority="3" operator="lessThan">
      <formula>0</formula>
    </cfRule>
  </conditionalFormatting>
  <conditionalFormatting sqref="W2">
    <cfRule type="cellIs" dxfId="1" priority="1" operator="lessThan">
      <formula>0</formula>
    </cfRule>
  </conditionalFormatting>
  <conditionalFormatting sqref="Z2:Z12">
    <cfRule type="cellIs" dxfId="0" priority="6"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B10A4D-D9A5-48B6-885D-6D6F421F31CB}"/>
</file>

<file path=customXml/itemProps2.xml><?xml version="1.0" encoding="utf-8"?>
<ds:datastoreItem xmlns:ds="http://schemas.openxmlformats.org/officeDocument/2006/customXml" ds:itemID="{C507BAF8-1EEE-4F08-BF7A-211EC6B32E7B}"/>
</file>

<file path=customXml/itemProps3.xml><?xml version="1.0" encoding="utf-8"?>
<ds:datastoreItem xmlns:ds="http://schemas.openxmlformats.org/officeDocument/2006/customXml" ds:itemID="{317EE2F4-97EA-4D33-86F3-3F081BA8256C}"/>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KW32,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2026-09-02T11:38:00Z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ies>
</file>