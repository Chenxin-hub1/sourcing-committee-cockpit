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2026/Sourcing Alignment meeting/KW32, 05.08.2026/"/>
    </mc:Choice>
  </mc:AlternateContent>
  <xr:revisionPtr revIDLastSave="0" documentId="8_{6C4BF3E4-1B13-4369-8EBC-260A7AE00166}" xr6:coauthVersionLast="47" xr6:coauthVersionMax="47" xr10:uidLastSave="{00000000-0000-0000-0000-000000000000}"/>
  <bookViews>
    <workbookView xWindow="-108" yWindow="-108" windowWidth="23256" windowHeight="12456" xr2:uid="{00000000-000D-0000-FFFF-FFFF00000000}"/>
  </bookViews>
  <sheets>
    <sheet name="KW32, 2026"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7" i="4" l="1"/>
  <c r="V7" i="4"/>
  <c r="Z7" i="4"/>
  <c r="Z6" i="4"/>
  <c r="W6" i="4"/>
  <c r="V6" i="4"/>
  <c r="W5" i="4"/>
  <c r="V5" i="4"/>
  <c r="Z5" i="4"/>
  <c r="Z4" i="4"/>
  <c r="W4" i="4"/>
  <c r="V4" i="4"/>
  <c r="Z3" i="4"/>
  <c r="W3" i="4"/>
  <c r="V3" i="4"/>
  <c r="W2" i="4"/>
  <c r="V2" i="4"/>
  <c r="Z2" i="4"/>
</calcChain>
</file>

<file path=xl/sharedStrings.xml><?xml version="1.0" encoding="utf-8"?>
<sst xmlns="http://schemas.openxmlformats.org/spreadsheetml/2006/main" count="112" uniqueCount="81">
  <si>
    <t>#</t>
  </si>
  <si>
    <t>Region</t>
  </si>
  <si>
    <t>Type</t>
  </si>
  <si>
    <t>Project/ Product</t>
  </si>
  <si>
    <t>Commodity</t>
  </si>
  <si>
    <t>Parent PF Code</t>
  </si>
  <si>
    <t>SWAT ID / Bundle ID</t>
  </si>
  <si>
    <t>Part Description</t>
  </si>
  <si>
    <t>PN</t>
  </si>
  <si>
    <t>Recommended Supplier (s)</t>
  </si>
  <si>
    <t>Presenter</t>
  </si>
  <si>
    <t>Decision Level</t>
  </si>
  <si>
    <t>Peak Year Spend</t>
  </si>
  <si>
    <t xml:space="preserve">LT Spend </t>
  </si>
  <si>
    <t>Comment</t>
  </si>
  <si>
    <t xml:space="preserve">Sourcing Decision </t>
  </si>
  <si>
    <t>Notes/Task/ Resp./ Due Date</t>
  </si>
  <si>
    <t>CQA PC PRICE</t>
  </si>
  <si>
    <t>Rec. Supplier Landed</t>
  </si>
  <si>
    <t>Average Volume</t>
  </si>
  <si>
    <t>LT volume</t>
  </si>
  <si>
    <t>Average Year Saving vs CQA</t>
  </si>
  <si>
    <t>LT saving</t>
  </si>
  <si>
    <t>CQA Tooling</t>
  </si>
  <si>
    <t xml:space="preserve">Rec. Supplier Tooling </t>
  </si>
  <si>
    <t>Tooling Saving vs CQA</t>
  </si>
  <si>
    <t>EU, NA</t>
  </si>
  <si>
    <t>New</t>
  </si>
  <si>
    <t>MBEAL</t>
  </si>
  <si>
    <t>CH</t>
  </si>
  <si>
    <t>CH01016
Medium Precision</t>
  </si>
  <si>
    <t>B/2025/00361
110000034019</t>
  </si>
  <si>
    <t>ECU Cover</t>
  </si>
  <si>
    <t>R004D369A</t>
  </si>
  <si>
    <t>Ningbo Deke Precision MoldingCo., L</t>
  </si>
  <si>
    <t>Sandra Novegil</t>
  </si>
  <si>
    <t>L2</t>
  </si>
  <si>
    <t>139K Euro</t>
  </si>
  <si>
    <t>852K Euro</t>
  </si>
  <si>
    <t>1. AP volume not yet nomincated by MB
2. globally only 277K Euro tooling budget for ECU Housing and cover
3. TR closed with Deke
4. ECU PV needed May 2026, needs to have ECU housing and cover provided to EMS supplier few weeks ahead ot support PV build.
5. CQA based on different design and volume.</t>
  </si>
  <si>
    <t>0,12 Euro/pc</t>
  </si>
  <si>
    <t>0,18 Euro/pc</t>
  </si>
  <si>
    <t>B/2025/00361
110000034018</t>
  </si>
  <si>
    <t>ECU Housing, w/o WMS</t>
  </si>
  <si>
    <t>R003H147A</t>
  </si>
  <si>
    <t>141K Euro</t>
  </si>
  <si>
    <t>886K Euro</t>
  </si>
  <si>
    <t>0,64 Euro/pc</t>
  </si>
  <si>
    <t>0,67 Euro/pc</t>
  </si>
  <si>
    <t>B/2025/00361
110000034017</t>
  </si>
  <si>
    <t>ECU Housing, WMS</t>
  </si>
  <si>
    <t>R003B136A</t>
  </si>
  <si>
    <t>439K Euro</t>
  </si>
  <si>
    <t>2,5Mio Euro</t>
  </si>
  <si>
    <t>0,74 Euro/pc</t>
  </si>
  <si>
    <t>EU</t>
  </si>
  <si>
    <t>SC</t>
  </si>
  <si>
    <t>SC06003
Cut&amp;Bend|Medium|Passenger Cars</t>
  </si>
  <si>
    <t>110000035050</t>
  </si>
  <si>
    <t>U bracket</t>
  </si>
  <si>
    <t>R004A488A</t>
  </si>
  <si>
    <t>CTMC Co Ltd.</t>
  </si>
  <si>
    <t>Lingqin Hu</t>
  </si>
  <si>
    <t>L4</t>
  </si>
  <si>
    <t>69K Euro</t>
  </si>
  <si>
    <t>412K Euro</t>
  </si>
  <si>
    <t>Approved offline</t>
  </si>
  <si>
    <t>0,36 Euro/pc</t>
  </si>
  <si>
    <t>0,34 Euro/pc</t>
  </si>
  <si>
    <t>110000035080</t>
  </si>
  <si>
    <t>Anchor bracket</t>
  </si>
  <si>
    <t>R003M940A</t>
  </si>
  <si>
    <t>4K Euro</t>
  </si>
  <si>
    <t>25K Euro</t>
  </si>
  <si>
    <t>0,43 Euro/pc</t>
  </si>
  <si>
    <t>0,32 Euro/pc</t>
  </si>
  <si>
    <t>110000035081</t>
  </si>
  <si>
    <t>R003C514A</t>
  </si>
  <si>
    <t>5K Euro</t>
  </si>
  <si>
    <t>29K Euro</t>
  </si>
  <si>
    <t>0,37 Euro/pc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</si>
</sst>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quot;€&quot;_-;\-* #,##0.00\ &quot;€&quot;_-;_-* &quot;-&quot;??\ &quot;€&quot;_-;_-@_-"/>
    <numFmt numFmtId="165" formatCode="#,##0\ [$€-407];\-#,##0\ [$€-407]"/>
    <numFmt numFmtId="166" formatCode="_-* #,##0\ &quot;€&quot;_-;\-* #,##0\ &quot;€&quot;_-;_-* &quot;-&quot;??\ &quot;€&quot;_-;_-@_-"/>
  </numFmts>
  <fonts count="8">
    <font>
      <sz val="11"/>
      <color theme="1"/>
      <name val="Calibri"/>
      <family val="2"/>
      <scheme val="minor"/>
    </font>
    <font>
      <sz val="8"/>
      <color rgb="FF000000"/>
      <name val="Arial"/>
      <family val="2"/>
    </font>
    <font>
      <b/>
      <sz val="8"/>
      <color rgb="FFFFFFFF"/>
      <name val="Arial"/>
      <family val="2"/>
    </font>
    <font>
      <sz val="11"/>
      <color rgb="FF006100"/>
      <name val="Calibri"/>
      <family val="2"/>
      <scheme val="minor"/>
    </font>
    <font>
      <sz val="8"/>
      <color rgb="FF006100"/>
      <name val="Arial"/>
      <family val="2"/>
    </font>
    <font>
      <b/>
      <sz val="8"/>
      <color theme="9"/>
      <name val="Arial"/>
      <family val="2"/>
    </font>
    <font>
      <sz val="8"/>
      <name val="Calibri"/>
      <family val="2"/>
      <scheme val="minor"/>
    </font>
    <font>
      <b/>
      <sz val="8"/>
      <color rgb="FF00B050"/>
      <name val="Arial"/>
      <family val="2"/>
    </font>
  </fonts>
  <fills count="6">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
      <patternFill patternType="solid">
        <fgColor rgb="FFC6EFCE"/>
      </patternFill>
    </fill>
  </fills>
  <borders count="16">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rgb="FFFFFFFF"/>
      </left>
      <right style="medium">
        <color theme="0"/>
      </right>
      <top style="medium">
        <color theme="0"/>
      </top>
      <bottom/>
      <diagonal/>
    </border>
    <border>
      <left style="medium">
        <color rgb="FFFFFFFF"/>
      </left>
      <right style="medium">
        <color theme="0"/>
      </right>
      <top/>
      <bottom style="medium">
        <color theme="0"/>
      </bottom>
      <diagonal/>
    </border>
    <border>
      <left style="medium">
        <color rgb="FFFFFFFF"/>
      </left>
      <right style="medium">
        <color rgb="FFFFFFFF"/>
      </right>
      <top style="medium">
        <color theme="0"/>
      </top>
      <bottom/>
      <diagonal/>
    </border>
    <border>
      <left style="medium">
        <color rgb="FFFFFFFF"/>
      </left>
      <right style="medium">
        <color rgb="FFFFFFFF"/>
      </right>
      <top/>
      <bottom style="medium">
        <color theme="0"/>
      </bottom>
      <diagonal/>
    </border>
    <border>
      <left/>
      <right style="medium">
        <color rgb="FFFFFFFF"/>
      </right>
      <top/>
      <bottom style="medium">
        <color rgb="FFFFFFFF"/>
      </bottom>
      <diagonal/>
    </border>
    <border>
      <left style="medium">
        <color theme="0"/>
      </left>
      <right style="medium">
        <color theme="0"/>
      </right>
      <top/>
      <bottom/>
      <diagonal/>
    </border>
    <border>
      <left style="medium">
        <color rgb="FFFFFFFF"/>
      </left>
      <right style="medium">
        <color theme="0"/>
      </right>
      <top/>
      <bottom/>
      <diagonal/>
    </border>
    <border>
      <left style="medium">
        <color theme="0"/>
      </left>
      <right/>
      <top style="medium">
        <color theme="0"/>
      </top>
      <bottom/>
      <diagonal/>
    </border>
    <border>
      <left style="medium">
        <color theme="0"/>
      </left>
      <right/>
      <top/>
      <bottom/>
      <diagonal/>
    </border>
    <border>
      <left style="medium">
        <color theme="0"/>
      </left>
      <right/>
      <top/>
      <bottom style="medium">
        <color theme="0"/>
      </bottom>
      <diagonal/>
    </border>
  </borders>
  <cellStyleXfs count="2">
    <xf numFmtId="0" fontId="0" fillId="0" borderId="0"/>
    <xf numFmtId="0" fontId="3" fillId="5" borderId="0" applyNumberFormat="0" applyBorder="0" applyAlignment="0" applyProtection="0"/>
  </cellStyleXfs>
  <cellXfs count="37">
    <xf numFmtId="0" fontId="0" fillId="0" borderId="0" xfId="0"/>
    <xf numFmtId="0" fontId="0" fillId="0" borderId="0" xfId="0" applyAlignment="1">
      <alignment wrapText="1"/>
    </xf>
    <xf numFmtId="0" fontId="2" fillId="2" borderId="1" xfId="0" applyFont="1" applyFill="1" applyBorder="1" applyAlignment="1">
      <alignment horizontal="center" vertical="center" wrapText="1" readingOrder="1"/>
    </xf>
    <xf numFmtId="0" fontId="0" fillId="0" borderId="0" xfId="0" applyAlignment="1">
      <alignment horizontal="center" wrapText="1"/>
    </xf>
    <xf numFmtId="0" fontId="0" fillId="0" borderId="0" xfId="0" applyAlignment="1">
      <alignment horizontal="center"/>
    </xf>
    <xf numFmtId="165" fontId="4" fillId="5" borderId="3" xfId="1" quotePrefix="1" applyNumberFormat="1" applyFont="1" applyBorder="1" applyAlignment="1">
      <alignment horizontal="center" vertical="center" wrapText="1" readingOrder="1"/>
    </xf>
    <xf numFmtId="0" fontId="1" fillId="3" borderId="3" xfId="0" quotePrefix="1" applyFont="1" applyFill="1" applyBorder="1" applyAlignment="1">
      <alignment horizontal="center" vertical="center" wrapText="1" readingOrder="1"/>
    </xf>
    <xf numFmtId="0" fontId="2" fillId="4" borderId="1" xfId="0" applyFont="1" applyFill="1" applyBorder="1" applyAlignment="1">
      <alignment horizontal="center" vertical="center" wrapText="1" readingOrder="1"/>
    </xf>
    <xf numFmtId="0" fontId="2" fillId="4" borderId="2" xfId="0" applyFont="1" applyFill="1" applyBorder="1" applyAlignment="1">
      <alignment horizontal="center" vertical="center" wrapText="1" readingOrder="1"/>
    </xf>
    <xf numFmtId="3" fontId="1" fillId="3" borderId="3" xfId="0" quotePrefix="1" applyNumberFormat="1" applyFont="1" applyFill="1" applyBorder="1" applyAlignment="1">
      <alignment horizontal="center" vertical="center" wrapText="1" readingOrder="1"/>
    </xf>
    <xf numFmtId="164" fontId="4" fillId="5" borderId="3" xfId="1" quotePrefix="1" applyNumberFormat="1" applyFont="1" applyBorder="1" applyAlignment="1">
      <alignment horizontal="center" vertical="center" wrapText="1" readingOrder="1"/>
    </xf>
    <xf numFmtId="3" fontId="1" fillId="3" borderId="3" xfId="0" quotePrefix="1" applyNumberFormat="1" applyFont="1" applyFill="1" applyBorder="1" applyAlignment="1">
      <alignment horizontal="left" vertical="center" wrapText="1" readingOrder="1"/>
    </xf>
    <xf numFmtId="0" fontId="1" fillId="3" borderId="3" xfId="0" quotePrefix="1" applyFont="1" applyFill="1" applyBorder="1" applyAlignment="1">
      <alignment horizontal="left" vertical="center" wrapText="1" readingOrder="1"/>
    </xf>
    <xf numFmtId="0" fontId="5" fillId="3" borderId="3" xfId="0" quotePrefix="1" applyFont="1" applyFill="1" applyBorder="1" applyAlignment="1">
      <alignment horizontal="center" vertical="center" wrapText="1" readingOrder="1"/>
    </xf>
    <xf numFmtId="1" fontId="1" fillId="3" borderId="3" xfId="0" quotePrefix="1" applyNumberFormat="1" applyFont="1" applyFill="1" applyBorder="1" applyAlignment="1">
      <alignment horizontal="center" vertical="center" wrapText="1" readingOrder="1"/>
    </xf>
    <xf numFmtId="4" fontId="1" fillId="3" borderId="3" xfId="0" quotePrefix="1" applyNumberFormat="1" applyFont="1" applyFill="1" applyBorder="1" applyAlignment="1">
      <alignment horizontal="center" vertical="center" wrapText="1" readingOrder="1"/>
    </xf>
    <xf numFmtId="0" fontId="1" fillId="3" borderId="10" xfId="0" applyFont="1" applyFill="1" applyBorder="1" applyAlignment="1">
      <alignment horizontal="center" vertical="center" wrapText="1"/>
    </xf>
    <xf numFmtId="0" fontId="7" fillId="3" borderId="3" xfId="0" quotePrefix="1" applyFont="1" applyFill="1" applyBorder="1" applyAlignment="1">
      <alignment horizontal="center" vertical="center" wrapText="1" readingOrder="1"/>
    </xf>
    <xf numFmtId="166" fontId="4" fillId="5" borderId="3" xfId="1" quotePrefix="1" applyNumberFormat="1" applyFont="1" applyBorder="1" applyAlignment="1">
      <alignment horizontal="center" vertical="center" wrapText="1" readingOrder="1"/>
    </xf>
    <xf numFmtId="0" fontId="1" fillId="3" borderId="4" xfId="0" quotePrefix="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readingOrder="1"/>
    </xf>
    <xf numFmtId="3" fontId="1" fillId="3" borderId="6" xfId="0" quotePrefix="1" applyNumberFormat="1" applyFont="1" applyFill="1" applyBorder="1" applyAlignment="1">
      <alignment horizontal="center" vertical="center" wrapText="1" readingOrder="1"/>
    </xf>
    <xf numFmtId="3" fontId="1" fillId="3" borderId="7" xfId="0" quotePrefix="1" applyNumberFormat="1" applyFont="1" applyFill="1" applyBorder="1" applyAlignment="1">
      <alignment horizontal="center" vertical="center" wrapText="1" readingOrder="1"/>
    </xf>
    <xf numFmtId="0" fontId="1" fillId="3" borderId="8" xfId="0" quotePrefix="1" applyFont="1" applyFill="1" applyBorder="1" applyAlignment="1">
      <alignment horizontal="center" vertical="center" wrapText="1" readingOrder="1"/>
    </xf>
    <xf numFmtId="0" fontId="1" fillId="3" borderId="9" xfId="0" quotePrefix="1" applyFont="1" applyFill="1" applyBorder="1" applyAlignment="1">
      <alignment horizontal="center" vertical="center" wrapText="1" readingOrder="1"/>
    </xf>
    <xf numFmtId="3" fontId="1" fillId="3" borderId="4" xfId="0" quotePrefix="1" applyNumberFormat="1" applyFont="1" applyFill="1" applyBorder="1" applyAlignment="1">
      <alignment horizontal="center" vertical="center" wrapText="1" readingOrder="1"/>
    </xf>
    <xf numFmtId="3" fontId="1" fillId="3" borderId="5" xfId="0" quotePrefix="1" applyNumberFormat="1" applyFont="1" applyFill="1" applyBorder="1" applyAlignment="1">
      <alignment horizontal="center" vertical="center" wrapText="1" readingOrder="1"/>
    </xf>
    <xf numFmtId="0" fontId="1" fillId="3" borderId="6" xfId="0" quotePrefix="1" applyFont="1" applyFill="1" applyBorder="1" applyAlignment="1">
      <alignment horizontal="left" vertical="center" wrapText="1" readingOrder="1"/>
    </xf>
    <xf numFmtId="0" fontId="1" fillId="3" borderId="12" xfId="0" quotePrefix="1" applyFont="1" applyFill="1" applyBorder="1" applyAlignment="1">
      <alignment horizontal="left" vertical="center" wrapText="1" readingOrder="1"/>
    </xf>
    <xf numFmtId="0" fontId="1" fillId="3" borderId="7" xfId="0" quotePrefix="1" applyFont="1" applyFill="1" applyBorder="1" applyAlignment="1">
      <alignment horizontal="left" vertical="center" wrapText="1" readingOrder="1"/>
    </xf>
    <xf numFmtId="0" fontId="1" fillId="3" borderId="11" xfId="0" quotePrefix="1" applyFont="1" applyFill="1" applyBorder="1" applyAlignment="1">
      <alignment horizontal="center" vertical="center" wrapText="1" readingOrder="1"/>
    </xf>
    <xf numFmtId="0" fontId="1" fillId="3" borderId="6" xfId="0" quotePrefix="1" applyFont="1" applyFill="1" applyBorder="1" applyAlignment="1">
      <alignment horizontal="center" vertical="center" wrapText="1" readingOrder="1"/>
    </xf>
    <xf numFmtId="0" fontId="1" fillId="3" borderId="12" xfId="0" quotePrefix="1" applyFont="1" applyFill="1" applyBorder="1" applyAlignment="1">
      <alignment horizontal="center" vertical="center" wrapText="1" readingOrder="1"/>
    </xf>
    <xf numFmtId="0" fontId="1" fillId="3" borderId="7" xfId="0" quotePrefix="1" applyFont="1" applyFill="1" applyBorder="1" applyAlignment="1">
      <alignment horizontal="center" vertical="center" wrapText="1" readingOrder="1"/>
    </xf>
    <xf numFmtId="0" fontId="1" fillId="3" borderId="13" xfId="0" quotePrefix="1" applyFont="1" applyFill="1" applyBorder="1" applyAlignment="1">
      <alignment horizontal="center" vertical="center" wrapText="1" readingOrder="1"/>
    </xf>
    <xf numFmtId="0" fontId="1" fillId="3" borderId="14" xfId="0" quotePrefix="1" applyFont="1" applyFill="1" applyBorder="1" applyAlignment="1">
      <alignment horizontal="center" vertical="center" wrapText="1" readingOrder="1"/>
    </xf>
    <xf numFmtId="0" fontId="1" fillId="3" borderId="15" xfId="0" quotePrefix="1" applyFont="1" applyFill="1" applyBorder="1" applyAlignment="1">
      <alignment horizontal="center" vertical="center" wrapText="1" readingOrder="1"/>
    </xf>
  </cellXfs>
  <cellStyles count="2">
    <cellStyle name="Good" xfId="1" builtinId="26"/>
    <cellStyle name="Normal" xfId="0" builtinId="0"/>
  </cellStyles>
  <dxfs count="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dimension ref="A1:Z28"/>
  <sheetViews>
    <sheetView tabSelected="1" zoomScale="85" zoomScaleNormal="85" workbookViewId="0">
      <selection activeCell="J2" sqref="J2:J4"/>
    </sheetView>
  </sheetViews>
  <sheetFormatPr defaultColWidth="9.140625" defaultRowHeight="14.45"/>
  <cols>
    <col min="1" max="3" width="8.85546875" style="4"/>
    <col min="4" max="4" width="13.140625" style="4" customWidth="1"/>
    <col min="5" max="5" width="11.5703125" style="4" customWidth="1"/>
    <col min="6" max="6" width="11.140625" style="4" customWidth="1"/>
    <col min="7" max="7" width="20.7109375" style="4" customWidth="1"/>
    <col min="8" max="8" width="10.85546875" style="4" customWidth="1"/>
    <col min="9" max="9" width="13.85546875" style="4" customWidth="1"/>
    <col min="10" max="10" width="14.42578125" style="4" customWidth="1"/>
    <col min="11" max="11" width="10.140625" style="4" customWidth="1"/>
    <col min="12" max="12" width="9.140625" style="4"/>
    <col min="13" max="13" width="12" style="4" customWidth="1"/>
    <col min="14" max="14" width="11.28515625" style="4" customWidth="1"/>
    <col min="15" max="15" width="23.140625" style="4" customWidth="1"/>
    <col min="16" max="16" width="17.140625" style="4" customWidth="1"/>
    <col min="17" max="17" width="30.42578125" style="4" customWidth="1"/>
    <col min="18" max="18" width="12.42578125" style="4" customWidth="1"/>
    <col min="19" max="19" width="13.140625" style="4" customWidth="1"/>
    <col min="20" max="22" width="10.85546875" style="4" customWidth="1"/>
    <col min="23" max="23" width="12.140625" style="4" bestFit="1" customWidth="1"/>
    <col min="24" max="26" width="10.85546875" style="4" customWidth="1"/>
  </cols>
  <sheetData>
    <row r="1" spans="1:26" s="1" customFormat="1" ht="42.6" customHeight="1" thickBo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7" t="s">
        <v>17</v>
      </c>
      <c r="S1" s="7" t="s">
        <v>18</v>
      </c>
      <c r="T1" s="8" t="s">
        <v>19</v>
      </c>
      <c r="U1" s="8" t="s">
        <v>20</v>
      </c>
      <c r="V1" s="8" t="s">
        <v>21</v>
      </c>
      <c r="W1" s="8" t="s">
        <v>22</v>
      </c>
      <c r="X1" s="7" t="s">
        <v>23</v>
      </c>
      <c r="Y1" s="7" t="s">
        <v>24</v>
      </c>
      <c r="Z1" s="7" t="s">
        <v>25</v>
      </c>
    </row>
    <row r="2" spans="1:26" s="1" customFormat="1" ht="45" customHeight="1" thickBot="1">
      <c r="A2" s="19">
        <v>1</v>
      </c>
      <c r="B2" s="19" t="s">
        <v>26</v>
      </c>
      <c r="C2" s="16" t="s">
        <v>27</v>
      </c>
      <c r="D2" s="16" t="s">
        <v>28</v>
      </c>
      <c r="E2" s="16" t="s">
        <v>29</v>
      </c>
      <c r="F2" s="16" t="s">
        <v>30</v>
      </c>
      <c r="G2" s="16" t="s">
        <v>31</v>
      </c>
      <c r="H2" s="16" t="s">
        <v>32</v>
      </c>
      <c r="I2" s="16" t="s">
        <v>33</v>
      </c>
      <c r="J2" s="31" t="s">
        <v>34</v>
      </c>
      <c r="K2" s="34" t="s">
        <v>35</v>
      </c>
      <c r="L2" s="31" t="s">
        <v>36</v>
      </c>
      <c r="M2" s="16" t="s">
        <v>37</v>
      </c>
      <c r="N2" s="16" t="s">
        <v>38</v>
      </c>
      <c r="O2" s="27" t="s">
        <v>39</v>
      </c>
      <c r="P2" s="17"/>
      <c r="Q2" s="11"/>
      <c r="R2" s="9" t="s">
        <v>40</v>
      </c>
      <c r="S2" s="9" t="s">
        <v>41</v>
      </c>
      <c r="T2" s="9">
        <v>525895</v>
      </c>
      <c r="U2" s="9">
        <v>4733055</v>
      </c>
      <c r="V2" s="5">
        <f>(0.18-0.12)*T2</f>
        <v>31553.699999999997</v>
      </c>
      <c r="W2" s="5">
        <f>(0.18-0.12)*U2</f>
        <v>283983.3</v>
      </c>
      <c r="X2" s="9">
        <v>0</v>
      </c>
      <c r="Y2" s="6">
        <v>0</v>
      </c>
      <c r="Z2" s="10">
        <f t="shared" ref="Z2:Z7" si="0">Y2-X2</f>
        <v>0</v>
      </c>
    </row>
    <row r="3" spans="1:26" s="1" customFormat="1" ht="45" customHeight="1" thickBot="1">
      <c r="A3" s="30"/>
      <c r="B3" s="30"/>
      <c r="C3" s="16" t="s">
        <v>27</v>
      </c>
      <c r="D3" s="16" t="s">
        <v>28</v>
      </c>
      <c r="E3" s="16" t="s">
        <v>29</v>
      </c>
      <c r="F3" s="16" t="s">
        <v>30</v>
      </c>
      <c r="G3" s="6" t="s">
        <v>42</v>
      </c>
      <c r="H3" s="6" t="s">
        <v>43</v>
      </c>
      <c r="I3" s="6" t="s">
        <v>44</v>
      </c>
      <c r="J3" s="32"/>
      <c r="K3" s="35"/>
      <c r="L3" s="32"/>
      <c r="M3" s="6" t="s">
        <v>45</v>
      </c>
      <c r="N3" s="6" t="s">
        <v>46</v>
      </c>
      <c r="O3" s="28"/>
      <c r="P3" s="6"/>
      <c r="Q3" s="6"/>
      <c r="R3" s="9" t="s">
        <v>47</v>
      </c>
      <c r="S3" s="9" t="s">
        <v>48</v>
      </c>
      <c r="T3" s="9">
        <v>165280</v>
      </c>
      <c r="U3" s="9">
        <v>1322241</v>
      </c>
      <c r="V3" s="5">
        <f>(0.67-0.64)*T3</f>
        <v>4958.4000000000042</v>
      </c>
      <c r="W3" s="5">
        <f>(0.67-0.64)*U3</f>
        <v>39667.230000000032</v>
      </c>
      <c r="X3" s="9">
        <v>0</v>
      </c>
      <c r="Y3" s="6">
        <v>0</v>
      </c>
      <c r="Z3" s="10">
        <f t="shared" si="0"/>
        <v>0</v>
      </c>
    </row>
    <row r="4" spans="1:26" s="1" customFormat="1" ht="45" customHeight="1" thickBot="1">
      <c r="A4" s="20"/>
      <c r="B4" s="20"/>
      <c r="C4" s="16" t="s">
        <v>27</v>
      </c>
      <c r="D4" s="16" t="s">
        <v>28</v>
      </c>
      <c r="E4" s="16" t="s">
        <v>29</v>
      </c>
      <c r="F4" s="16" t="s">
        <v>30</v>
      </c>
      <c r="G4" s="6" t="s">
        <v>49</v>
      </c>
      <c r="H4" s="6" t="s">
        <v>50</v>
      </c>
      <c r="I4" s="6" t="s">
        <v>51</v>
      </c>
      <c r="J4" s="33"/>
      <c r="K4" s="36"/>
      <c r="L4" s="33"/>
      <c r="M4" s="6" t="s">
        <v>52</v>
      </c>
      <c r="N4" s="6" t="s">
        <v>53</v>
      </c>
      <c r="O4" s="29"/>
      <c r="P4" s="6"/>
      <c r="Q4" s="6"/>
      <c r="R4" s="9" t="s">
        <v>47</v>
      </c>
      <c r="S4" s="9" t="s">
        <v>54</v>
      </c>
      <c r="T4" s="9">
        <v>378979</v>
      </c>
      <c r="U4" s="9">
        <v>3410814</v>
      </c>
      <c r="V4" s="5">
        <f>(0.74-0.64)*T4</f>
        <v>37897.899999999994</v>
      </c>
      <c r="W4" s="5">
        <f>(0.74-0.64)*U4</f>
        <v>341081.39999999991</v>
      </c>
      <c r="X4" s="9">
        <v>277000</v>
      </c>
      <c r="Y4" s="9">
        <v>192789</v>
      </c>
      <c r="Z4" s="18">
        <f t="shared" si="0"/>
        <v>-84211</v>
      </c>
    </row>
    <row r="5" spans="1:26" s="1" customFormat="1" ht="45" customHeight="1" thickBot="1">
      <c r="A5" s="6">
        <v>2</v>
      </c>
      <c r="B5" s="6" t="s">
        <v>55</v>
      </c>
      <c r="C5" s="16" t="s">
        <v>27</v>
      </c>
      <c r="D5" s="16" t="s">
        <v>28</v>
      </c>
      <c r="E5" s="9" t="s">
        <v>56</v>
      </c>
      <c r="F5" s="9" t="s">
        <v>57</v>
      </c>
      <c r="G5" s="6" t="s">
        <v>58</v>
      </c>
      <c r="H5" s="6" t="s">
        <v>59</v>
      </c>
      <c r="I5" s="6" t="s">
        <v>60</v>
      </c>
      <c r="J5" s="6" t="s">
        <v>61</v>
      </c>
      <c r="K5" s="9" t="s">
        <v>62</v>
      </c>
      <c r="L5" s="9" t="s">
        <v>63</v>
      </c>
      <c r="M5" s="6" t="s">
        <v>64</v>
      </c>
      <c r="N5" s="6" t="s">
        <v>65</v>
      </c>
      <c r="O5" s="12"/>
      <c r="P5" s="17" t="s">
        <v>66</v>
      </c>
      <c r="Q5" s="6"/>
      <c r="R5" s="9" t="s">
        <v>67</v>
      </c>
      <c r="S5" s="9" t="s">
        <v>68</v>
      </c>
      <c r="T5" s="9">
        <v>136220</v>
      </c>
      <c r="U5" s="9">
        <v>1225984</v>
      </c>
      <c r="V5" s="5">
        <f>(0.34-0.36)*T5</f>
        <v>-2724.3999999999946</v>
      </c>
      <c r="W5" s="5">
        <f>(0.34-0.36)*U5</f>
        <v>-24519.679999999953</v>
      </c>
      <c r="X5" s="9">
        <v>75000</v>
      </c>
      <c r="Y5" s="9">
        <v>38000</v>
      </c>
      <c r="Z5" s="18">
        <f t="shared" si="0"/>
        <v>-37000</v>
      </c>
    </row>
    <row r="6" spans="1:26" s="1" customFormat="1" ht="45" customHeight="1" thickBot="1">
      <c r="A6" s="6">
        <v>3</v>
      </c>
      <c r="B6" s="6" t="s">
        <v>55</v>
      </c>
      <c r="C6" s="16" t="s">
        <v>27</v>
      </c>
      <c r="D6" s="16" t="s">
        <v>28</v>
      </c>
      <c r="E6" s="9" t="s">
        <v>56</v>
      </c>
      <c r="F6" s="9" t="s">
        <v>57</v>
      </c>
      <c r="G6" s="6" t="s">
        <v>69</v>
      </c>
      <c r="H6" s="6" t="s">
        <v>70</v>
      </c>
      <c r="I6" s="6" t="s">
        <v>71</v>
      </c>
      <c r="J6" s="6" t="s">
        <v>61</v>
      </c>
      <c r="K6" s="9" t="s">
        <v>62</v>
      </c>
      <c r="L6" s="9" t="s">
        <v>63</v>
      </c>
      <c r="M6" s="6" t="s">
        <v>72</v>
      </c>
      <c r="N6" s="6" t="s">
        <v>73</v>
      </c>
      <c r="O6" s="12"/>
      <c r="P6" s="17" t="s">
        <v>66</v>
      </c>
      <c r="Q6" s="11"/>
      <c r="R6" s="9" t="s">
        <v>74</v>
      </c>
      <c r="S6" s="9" t="s">
        <v>75</v>
      </c>
      <c r="T6" s="9">
        <v>8794</v>
      </c>
      <c r="U6" s="9">
        <v>79147</v>
      </c>
      <c r="V6" s="5">
        <f>(0.32-0.43)*T6</f>
        <v>-967.33999999999992</v>
      </c>
      <c r="W6" s="5">
        <f>(0.32-0.43)*U6</f>
        <v>-8706.1699999999983</v>
      </c>
      <c r="X6" s="9">
        <v>0</v>
      </c>
      <c r="Y6" s="9">
        <v>38000</v>
      </c>
      <c r="Z6" s="18">
        <f t="shared" si="0"/>
        <v>38000</v>
      </c>
    </row>
    <row r="7" spans="1:26" s="1" customFormat="1" ht="45" customHeight="1" thickBot="1">
      <c r="A7" s="6">
        <v>4</v>
      </c>
      <c r="B7" s="6" t="s">
        <v>55</v>
      </c>
      <c r="C7" s="16" t="s">
        <v>27</v>
      </c>
      <c r="D7" s="16" t="s">
        <v>28</v>
      </c>
      <c r="E7" s="9" t="s">
        <v>56</v>
      </c>
      <c r="F7" s="9" t="s">
        <v>57</v>
      </c>
      <c r="G7" s="6" t="s">
        <v>76</v>
      </c>
      <c r="H7" s="6" t="s">
        <v>70</v>
      </c>
      <c r="I7" s="6" t="s">
        <v>77</v>
      </c>
      <c r="J7" s="6" t="s">
        <v>61</v>
      </c>
      <c r="K7" s="9" t="s">
        <v>62</v>
      </c>
      <c r="L7" s="9" t="s">
        <v>63</v>
      </c>
      <c r="M7" s="15" t="s">
        <v>78</v>
      </c>
      <c r="N7" s="6" t="s">
        <v>79</v>
      </c>
      <c r="O7" s="12"/>
      <c r="P7" s="17" t="s">
        <v>66</v>
      </c>
      <c r="Q7" s="11"/>
      <c r="R7" s="9" t="s">
        <v>74</v>
      </c>
      <c r="S7" s="9" t="s">
        <v>80</v>
      </c>
      <c r="T7" s="9">
        <v>8794</v>
      </c>
      <c r="U7" s="9">
        <v>79147</v>
      </c>
      <c r="V7" s="5">
        <f>(0.37-0.43)*T7</f>
        <v>-527.64</v>
      </c>
      <c r="W7" s="5">
        <f>(0.37-0.43)*U7</f>
        <v>-4748.82</v>
      </c>
      <c r="X7" s="9">
        <v>60000</v>
      </c>
      <c r="Y7" s="9">
        <v>40000</v>
      </c>
      <c r="Z7" s="18">
        <f t="shared" si="0"/>
        <v>-20000</v>
      </c>
    </row>
    <row r="8" spans="1:26" s="1" customFormat="1" ht="40.15" customHeight="1" thickBot="1">
      <c r="A8" s="19"/>
      <c r="B8" s="19"/>
      <c r="C8" s="6"/>
      <c r="D8" s="6"/>
      <c r="E8" s="9"/>
      <c r="F8" s="9"/>
      <c r="G8" s="14"/>
      <c r="H8" s="6"/>
      <c r="I8" s="6"/>
      <c r="J8" s="23"/>
      <c r="K8" s="21"/>
      <c r="L8" s="25"/>
      <c r="M8" s="6"/>
      <c r="N8" s="9"/>
      <c r="O8" s="12"/>
      <c r="P8" s="13"/>
      <c r="Q8" s="11"/>
      <c r="R8" s="9"/>
      <c r="S8" s="6"/>
      <c r="T8" s="9"/>
      <c r="U8" s="9"/>
      <c r="V8" s="5"/>
      <c r="W8" s="5"/>
      <c r="X8" s="9"/>
      <c r="Y8" s="9"/>
      <c r="Z8" s="10"/>
    </row>
    <row r="9" spans="1:26" s="1" customFormat="1" ht="40.15" customHeight="1" thickBot="1">
      <c r="A9" s="20"/>
      <c r="B9" s="20"/>
      <c r="C9" s="6"/>
      <c r="D9" s="6"/>
      <c r="E9" s="9"/>
      <c r="F9" s="9"/>
      <c r="G9" s="14"/>
      <c r="H9" s="6"/>
      <c r="I9" s="6"/>
      <c r="J9" s="24"/>
      <c r="K9" s="22"/>
      <c r="L9" s="26"/>
      <c r="M9" s="6"/>
      <c r="N9" s="9"/>
      <c r="O9" s="12"/>
      <c r="P9" s="13"/>
      <c r="Q9" s="11"/>
      <c r="R9" s="9"/>
      <c r="S9" s="6"/>
      <c r="T9" s="9"/>
      <c r="U9" s="9"/>
      <c r="V9" s="5"/>
      <c r="W9" s="5"/>
      <c r="X9" s="9"/>
      <c r="Y9" s="6"/>
      <c r="Z9" s="10"/>
    </row>
    <row r="10" spans="1:26" s="1" customFormat="1" ht="118.35" customHeight="1" thickBot="1">
      <c r="A10" s="6"/>
      <c r="B10" s="6"/>
      <c r="C10" s="6"/>
      <c r="D10" s="6"/>
      <c r="E10" s="9"/>
      <c r="F10" s="9"/>
      <c r="G10" s="6"/>
      <c r="H10" s="6"/>
      <c r="I10" s="6"/>
      <c r="J10" s="6"/>
      <c r="K10" s="9"/>
      <c r="L10" s="9"/>
      <c r="M10" s="6"/>
      <c r="N10" s="6"/>
      <c r="O10" s="12"/>
      <c r="P10" s="13"/>
      <c r="Q10" s="11"/>
      <c r="R10" s="9"/>
      <c r="S10" s="9"/>
      <c r="T10" s="9"/>
      <c r="U10" s="9"/>
      <c r="V10" s="5"/>
      <c r="W10" s="5"/>
      <c r="X10" s="9"/>
      <c r="Y10" s="6"/>
      <c r="Z10" s="10"/>
    </row>
    <row r="11" spans="1:26" s="1" customFormat="1" ht="118.35" customHeight="1" thickBot="1">
      <c r="A11" s="6"/>
      <c r="B11" s="6"/>
      <c r="C11" s="6"/>
      <c r="D11" s="6"/>
      <c r="E11" s="9"/>
      <c r="F11" s="9"/>
      <c r="G11" s="14"/>
      <c r="H11" s="6"/>
      <c r="I11" s="6"/>
      <c r="J11" s="6"/>
      <c r="K11" s="9"/>
      <c r="L11" s="9"/>
      <c r="M11" s="6"/>
      <c r="N11" s="6"/>
      <c r="O11" s="12"/>
      <c r="P11" s="13"/>
      <c r="Q11" s="11"/>
      <c r="R11" s="9"/>
      <c r="S11" s="6"/>
      <c r="T11" s="9"/>
      <c r="U11" s="9"/>
      <c r="V11" s="5"/>
      <c r="W11" s="5"/>
      <c r="X11" s="9"/>
      <c r="Y11" s="6"/>
      <c r="Z11" s="10"/>
    </row>
    <row r="12" spans="1:26" s="1" customFormat="1" ht="118.35" customHeight="1" thickBot="1">
      <c r="A12" s="6"/>
      <c r="B12" s="6"/>
      <c r="C12" s="6"/>
      <c r="D12" s="6"/>
      <c r="E12" s="9"/>
      <c r="F12" s="9"/>
      <c r="G12" s="14"/>
      <c r="H12" s="6"/>
      <c r="I12" s="6"/>
      <c r="J12" s="6"/>
      <c r="K12" s="9"/>
      <c r="L12" s="9"/>
      <c r="M12" s="6"/>
      <c r="N12" s="6"/>
      <c r="O12" s="12"/>
      <c r="P12" s="13"/>
      <c r="Q12" s="11"/>
      <c r="R12" s="9"/>
      <c r="S12" s="6"/>
      <c r="T12" s="9"/>
      <c r="U12" s="9"/>
      <c r="V12" s="5"/>
      <c r="W12" s="5"/>
      <c r="X12" s="9"/>
      <c r="Y12" s="6"/>
      <c r="Z12" s="10"/>
    </row>
    <row r="13" spans="1:26" s="1" customFormat="1" ht="42.6"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s="1" customFormat="1" ht="42.6"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s="1" customFormat="1" ht="42.6"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s="1" customFormat="1" ht="42.6"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s="1" customFormat="1" ht="42.6"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s="1" customFormat="1" ht="42.6"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s="1" customFormat="1" ht="42.6"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s="1" customFormat="1" ht="42.6"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s="1" customFormat="1" ht="42.6"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s="1" customFormat="1" ht="42.6"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s="1" customFormat="1" ht="42.6"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s="1" customFormat="1" ht="42.6"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s="1" customFormat="1" ht="42.6"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s="1" customFormat="1" ht="42.6"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s="1" customFormat="1" ht="42.6"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s="1" customFormat="1" ht="42.6" customHeight="1">
      <c r="A28" s="3"/>
      <c r="B28" s="3"/>
      <c r="C28" s="3"/>
      <c r="D28" s="3"/>
      <c r="E28" s="3"/>
      <c r="F28" s="3"/>
      <c r="G28" s="3"/>
      <c r="H28" s="3"/>
      <c r="I28" s="3"/>
      <c r="J28" s="3"/>
      <c r="K28" s="3"/>
      <c r="L28" s="3"/>
      <c r="M28" s="3"/>
      <c r="N28" s="3"/>
      <c r="O28" s="3"/>
      <c r="P28" s="3"/>
      <c r="Q28" s="3"/>
      <c r="R28" s="3"/>
      <c r="S28" s="3"/>
      <c r="T28" s="3"/>
      <c r="U28" s="3"/>
      <c r="V28" s="3"/>
      <c r="W28" s="3"/>
      <c r="X28" s="3"/>
      <c r="Y28" s="3"/>
      <c r="Z28" s="3"/>
    </row>
  </sheetData>
  <mergeCells count="11">
    <mergeCell ref="O2:O4"/>
    <mergeCell ref="A2:A4"/>
    <mergeCell ref="J2:J4"/>
    <mergeCell ref="K2:K4"/>
    <mergeCell ref="L2:L4"/>
    <mergeCell ref="B2:B4"/>
    <mergeCell ref="A8:A9"/>
    <mergeCell ref="B8:B9"/>
    <mergeCell ref="K8:K9"/>
    <mergeCell ref="J8:J9"/>
    <mergeCell ref="L8:L9"/>
  </mergeCells>
  <phoneticPr fontId="6" type="noConversion"/>
  <conditionalFormatting sqref="V1:V4 Z1:Z1048576 V13:V1048576">
    <cfRule type="cellIs" dxfId="4" priority="67" operator="lessThan">
      <formula>0</formula>
    </cfRule>
  </conditionalFormatting>
  <conditionalFormatting sqref="V2:W12">
    <cfRule type="cellIs" dxfId="3" priority="1" operator="lessThan">
      <formula>0</formula>
    </cfRule>
    <cfRule type="cellIs" dxfId="2" priority="4" operator="greaterThan">
      <formula>0</formula>
    </cfRule>
  </conditionalFormatting>
  <conditionalFormatting sqref="W2:W4">
    <cfRule type="cellIs" dxfId="1" priority="2" operator="lessThan">
      <formula>0</formula>
    </cfRule>
  </conditionalFormatting>
  <conditionalFormatting sqref="Z2:Z12">
    <cfRule type="cellIs" dxfId="0" priority="16" operator="greaterThan">
      <formula>0</formula>
    </cfRule>
  </conditionalFormatting>
  <pageMargins left="0.7" right="0.7" top="0.75" bottom="0.75" header="0.3" footer="0.3"/>
  <pageSetup orientation="portrait" r:id="rId1"/>
  <customProperties>
    <customPr name="_pios_id" r:id="rId2"/>
    <customPr name="Ibp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7d00205-0ffb-4bc2-b18e-b800942d8fea" xsi:nil="true"/>
    <lcf76f155ced4ddcb4097134ff3c332f xmlns="c58f02bd-e0b7-474b-a2bc-9a19f162f3a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AE94798D0E7D4487CB84FC9A87565D" ma:contentTypeVersion="10" ma:contentTypeDescription="Create a new document." ma:contentTypeScope="" ma:versionID="43578f701e86689ec676730cb0ad04f6">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8ca8914e6833cdc63204807a2b0cd05"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E9FA40-CE65-417E-82F3-C323ACF25928}"/>
</file>

<file path=customXml/itemProps2.xml><?xml version="1.0" encoding="utf-8"?>
<ds:datastoreItem xmlns:ds="http://schemas.openxmlformats.org/officeDocument/2006/customXml" ds:itemID="{49001CCF-2C52-43A3-8EFD-6769333639D0}"/>
</file>

<file path=customXml/itemProps3.xml><?xml version="1.0" encoding="utf-8"?>
<ds:datastoreItem xmlns:ds="http://schemas.openxmlformats.org/officeDocument/2006/customXml" ds:itemID="{5CA95F6F-0CFE-42CA-A17B-D3277B0BAFA3}"/>
</file>

<file path=docProps/app.xml><?xml version="1.0" encoding="utf-8"?>
<Properties xmlns="http://schemas.openxmlformats.org/officeDocument/2006/extended-properties" xmlns:vt="http://schemas.openxmlformats.org/officeDocument/2006/docPropsVTypes">
  <Application>Microsoft Excel Online</Application>
  <Manager/>
  <Company>RVNA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Xiangwei Chen ALF RPSBE1</dc:creator>
  <cp:keywords/>
  <dc:description/>
  <cp:lastModifiedBy>Carrie Wang WSH RPSB</cp:lastModifiedBy>
  <cp:revision/>
  <dcterms:created xsi:type="dcterms:W3CDTF">2025-09-02T13:26:50Z</dcterms:created>
  <dcterms:modified xsi:type="dcterms:W3CDTF">2026-08-19T18:05:10Z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IbpWorkbookKeyString_GUID">
    <vt:lpwstr>38fc2b40-ce9d-4aa7-a82c-e708adc4547a</vt:lpwstr>
  </property>
  <property fmtid="{D5CDD505-2E9C-101B-9397-08002B2CF9AE}" pid="10" name="ContentTypeId">
    <vt:lpwstr>0x010100D2AE94798D0E7D4487CB84FC9A87565D</vt:lpwstr>
  </property>
  <property fmtid="{D5CDD505-2E9C-101B-9397-08002B2CF9AE}" pid="11" name="MediaServiceImageTags">
    <vt:lpwstr/>
  </property>
</Properties>
</file>