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2026/Sourcing Alignment meeting/KW10, 04.03.2026/"/>
    </mc:Choice>
  </mc:AlternateContent>
  <xr:revisionPtr revIDLastSave="139" documentId="8_{AC9D8530-ACB6-4F1C-9F81-387566505423}" xr6:coauthVersionLast="47" xr6:coauthVersionMax="47" xr10:uidLastSave="{6E7F629D-C579-4391-A0AA-110D46793E77}"/>
  <bookViews>
    <workbookView minimized="1" xWindow="3084" yWindow="3768" windowWidth="17280" windowHeight="8916" xr2:uid="{00000000-000D-0000-FFFF-FFFF00000000}"/>
  </bookViews>
  <sheets>
    <sheet name="KW10, 2026"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4" l="1"/>
  <c r="V3" i="4"/>
  <c r="W7" i="4" l="1"/>
  <c r="V7" i="4"/>
  <c r="Z2" i="4"/>
  <c r="W2" i="4"/>
  <c r="V2" i="4"/>
  <c r="W4" i="4"/>
  <c r="V4" i="4"/>
  <c r="W6" i="4"/>
  <c r="V6" i="4"/>
  <c r="W5" i="4"/>
  <c r="V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tc={33F13E97-F7BD-432E-9791-09CE0BCCC180}</author>
    <author>tc={F3377368-AC36-42E7-930D-3BD971C07B02}</author>
  </authors>
  <commentList>
    <comment ref="Y2" authorId="0" shapeId="0" xr:uid="{33F13E97-F7BD-432E-9791-09CE0BCCC180}">
      <text>
        <t>[Threaded comment]
Your version of Excel allows you to read this threaded comment; however, any edits to it will get removed if the file is opened in a newer version of Excel. Learn more: https://go.microsoft.com/fwlink/?linkid=870924
Comment:
    To be amortized</t>
      </text>
    </comment>
    <comment ref="S3" authorId="1" shapeId="0" xr:uid="{F3377368-AC36-42E7-930D-3BD971C07B02}">
      <text>
        <t>[Threaded comment]
Your version of Excel allows you to read this threaded comment; however, any edits to it will get removed if the file is opened in a newer version of Excel. Learn more: https://go.microsoft.com/fwlink/?linkid=870924
Comment:
    With Amortisation added</t>
      </text>
    </comment>
  </commentList>
</comments>
</file>

<file path=xl/sharedStrings.xml><?xml version="1.0" encoding="utf-8"?>
<sst xmlns="http://schemas.openxmlformats.org/spreadsheetml/2006/main" count="129" uniqueCount="106">
  <si>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</si>
  <si>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</si>
  <si>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</si>
  <si>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</si>
  <si>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</si>
  <si>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</si>
  <si>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</si>
  <si>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</si>
  <si>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</si>
  <si>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</si>
  <si>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</si>
  <si>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</si>
  <si>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</si>
  <si>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</si>
  <si>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</si>
  <si>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</si>
  <si>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</si>
  <si>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</si>
  <si>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</si>
  <si>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</si>
  <si>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</si>
  <si>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</si>
  <si>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</si>
  <si>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</si>
  <si>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</si>
  <si>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Comment</t>
  </si>
  <si>
    <t>AP</t>
  </si>
  <si>
    <t>L2</t>
  </si>
  <si>
    <t>Wire forming</t>
  </si>
  <si>
    <t>SC03002</t>
  </si>
  <si>
    <t>CABLE, MCH BUCKLE BRACKET</t>
  </si>
  <si>
    <t>A022H673B</t>
  </si>
  <si>
    <t>CGR springs (Jiaxing) Co., Ltd.</t>
  </si>
  <si>
    <t>Violeta Beltran del Rio</t>
  </si>
  <si>
    <t>L3</t>
  </si>
  <si>
    <t>198.7K EUR</t>
  </si>
  <si>
    <t>EU</t>
  </si>
  <si>
    <t>CO GCS</t>
  </si>
  <si>
    <t>Volvo V326</t>
  </si>
  <si>
    <t>NEW</t>
    <phoneticPr fontId="6" type="noConversion"/>
  </si>
  <si>
    <t>VW CMP21</t>
  </si>
  <si>
    <t>Stamping</t>
    <phoneticPr fontId="6" type="noConversion"/>
  </si>
  <si>
    <t>SC06003</t>
    <phoneticPr fontId="6" type="noConversion"/>
  </si>
  <si>
    <t>Pillar Loops</t>
  </si>
  <si>
    <t>34247255A</t>
  </si>
  <si>
    <t>AMP</t>
    <phoneticPr fontId="6" type="noConversion"/>
  </si>
  <si>
    <t>Leo Xu</t>
    <phoneticPr fontId="6" type="noConversion"/>
  </si>
  <si>
    <t>273K Euro
2,16 Mio RMB</t>
    <phoneticPr fontId="6" type="noConversion"/>
  </si>
  <si>
    <t>1,63 Mio Euro
12,87 Mio RMB</t>
    <phoneticPr fontId="6" type="noConversion"/>
  </si>
  <si>
    <t>2027 MBAG V530</t>
  </si>
  <si>
    <t>EL 02</t>
  </si>
  <si>
    <t>EL02002</t>
  </si>
  <si>
    <t>ECU</t>
  </si>
  <si>
    <t>R001V650A</t>
  </si>
  <si>
    <t>Kimball</t>
  </si>
  <si>
    <t>Melisa Bouzo</t>
  </si>
  <si>
    <t>10,89 Euro/pc
86 RMB/pc</t>
  </si>
  <si>
    <t>6Mio Euro
48Mio RMB</t>
  </si>
  <si>
    <t>1Mio Euro
8,2Mio RMB</t>
  </si>
  <si>
    <t>NA</t>
  </si>
  <si>
    <t>NEW</t>
  </si>
  <si>
    <t>TESLA E80</t>
  </si>
  <si>
    <t>Textile</t>
  </si>
  <si>
    <t>MI03006
Webbing</t>
  </si>
  <si>
    <t>B/2026/00045
110000033923</t>
  </si>
  <si>
    <t>IR Webbing</t>
  </si>
  <si>
    <t>R003Y947A</t>
  </si>
  <si>
    <t>Oppermann Automotive Webbing GmbH</t>
  </si>
  <si>
    <t>MATEI ACSINTE</t>
  </si>
  <si>
    <t>445K Euro
490K USD</t>
  </si>
  <si>
    <t>1,48 Mio Euro
1.63 Mio USD</t>
  </si>
  <si>
    <t xml:space="preserve"> 2026 BMW G5X, BMW Ncar</t>
  </si>
  <si>
    <t>B/2026/00045
110000034506</t>
  </si>
  <si>
    <t>R002Y991B</t>
  </si>
  <si>
    <t>215K Euro</t>
  </si>
  <si>
    <t>B/2026/00045
110000034442</t>
  </si>
  <si>
    <t>R003U513A</t>
  </si>
  <si>
    <t>41K Euro</t>
  </si>
  <si>
    <t>288K Euro</t>
  </si>
  <si>
    <t>0,50 Euro/m</t>
  </si>
  <si>
    <t>0,4128 Euro/m</t>
  </si>
  <si>
    <t>0,55 Euro/m</t>
  </si>
  <si>
    <t>0,4945 Euro/m</t>
  </si>
  <si>
    <t>0,41623 Euro/m
0,45785 USD/m</t>
  </si>
  <si>
    <t>0,463 Euro/m
0,5093 USD/m</t>
  </si>
  <si>
    <t>0,5397 Euro/pc
4,2636 RMB/Pc</t>
  </si>
  <si>
    <t>0,6772 Euro/pc
5,35 RMB/Pc</t>
  </si>
  <si>
    <t>50060 Euro
395480 RMB</t>
  </si>
  <si>
    <t>1,6 Mio Euro</t>
  </si>
  <si>
    <t>1.3Mio EUR</t>
  </si>
  <si>
    <t>0,72 Euro/pc</t>
  </si>
  <si>
    <t>0,5313 Euro/pc</t>
  </si>
  <si>
    <t>Approved</t>
  </si>
  <si>
    <t>1. IR webbing still in core development phase.
2. Combinded volumes of BMW projects G5x and NCAR 1st seat row
3. TR to be closed
4. Yearly requalification not included in pc price.
5. Camera cost be 1K Euro, supplier will not come, or if high end, Sales open for requote.</t>
  </si>
  <si>
    <t>To be followed up offline</t>
  </si>
  <si>
    <t xml:space="preserve">1. To double check Oppermann timing and project timing. -- PP Mario, Sara.
SOP in SWAT 29.06.2026.
</t>
  </si>
  <si>
    <t>1. IR webbing still in core development phase.
Core and application development running same time.
2. TR closed
3. Oppermann reserved samples for DV, PV started in the meantime, sourcing was running in parallel.</t>
  </si>
  <si>
    <t>1. 1st step implement CGR in V326, 2nd step GCS V436 from Huamai to CGR.
2. Tooling 18,673 Euro to be amortized into 600k pcs. 0.031 Euro/pc added in the unit price per AMO concept, for approx. 2y after SOP, covering program’s LT volume 2.4M:
3. CGR Leadtime: 6 weeks kickoff to FOT, 10 weeks kickoff to PPAP.
Timing confirmed by PM, ok.
4. CGR China as a challenge to Huamai, and CGR Poland on compettveness.</t>
  </si>
  <si>
    <t>1. Tooling cost to be paid by amortized into 1mil pcs.
2. Demand based on VW CMP21.
3. TR closed
4. 1 cav tool, 630T press. No possiblity to go 2 Cav, as 1000T press would be needed, not available at AMP.
5. Coating will be done by Shanghai Golden.
6. Alfdorf TMC 0,6088 Euro/pc, without transportation and duty.</t>
  </si>
  <si>
    <t>1. Check further possiblities to improve Kimball EU cycle time. - CM Melisa
2. Check if Kimball EU can improve BOM cost to be same like AP level. - CM Melisa</t>
  </si>
  <si>
    <t>1. To close TR within KW10 -- CM Matei, SDE Gerd
2. To lead and close discussion of yearly requalification, KW10 -- SDE Gerd, Klaus with responsible Colleagues.
Cross functional alignment so far is: Requalification efforts should be reduced to minimum. Important is the IR characteristics, but serial webbing itself it should be based on IBK Webbing.
3. To check needed test (IR charateristic check) and cost of camera device. KW11 -- CM Matei
4. To review and get customer confirmation of ZF LT IR test specification. KW15 -- AE Domink M.
5. To lead the team to work out a  ZF LT general IR Test specification, tbd -- Family PM Marcin Pomierski</t>
  </si>
  <si>
    <t>1. To inform PM about the plan to not CO Huamai in V326, but introduce CGR China, to check if CCB needed. -- PP Karolina.</t>
  </si>
  <si>
    <t>'1. IR webbing still in core development phase.
Combinded volumes of BMW projects 2. G5x and NCAR 1st seat row
M webbing.
3. Bleeding issue still to be solved</t>
  </si>
  <si>
    <t>8,55 Euro/pc
67,55 RMB/pc</t>
  </si>
  <si>
    <t>1. Tooling cost to be amortized, 843K RMB, into: 3 Years / 320Kpcs
2. PRPO approved.
3. Build competition to USI.</t>
  </si>
  <si>
    <t xml:space="preserve">1. To further follow up with Oppermann and Hyosung for solving the bleeding issue. - CM Madalina, PP Summer, BMW team KW18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</si>
</sst>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 [$€-407];\-#,##0\ [$€-407]"/>
    <numFmt numFmtId="165" formatCode="_([$€-2]\ * #,##0.00_);_([$€-2]\ * \(#,##0.00\);_([$€-2]\ * &quot;-&quot;??_);_(@_)"/>
  </numFmts>
  <fonts count="8" x14ac:knownFonts="1">
    <font>
      <sz val="11"/>
      <color theme="1"/>
      <name val="Calibri"/>
      <family val="2"/>
      <scheme val="minor"/>
    </font>
    <font>
      <sz val="8"/>
      <color rgb="FF000000"/>
      <name val="Arial"/>
      <family val="2"/>
    </font>
    <font>
      <b/>
      <sz val="8"/>
      <color rgb="FFFFFFFF"/>
      <name val="Arial"/>
      <family val="2"/>
    </font>
    <font>
      <sz val="11"/>
      <color rgb="FF006100"/>
      <name val="Calibri"/>
      <family val="2"/>
      <scheme val="minor"/>
    </font>
    <font>
      <sz val="8"/>
      <color rgb="FF006100"/>
      <name val="Arial"/>
      <family val="2"/>
    </font>
    <font>
      <b/>
      <sz val="8"/>
      <color theme="9"/>
      <name val="Arial"/>
      <family val="2"/>
    </font>
    <font>
      <sz val="8"/>
      <name val="Calibri"/>
      <family val="2"/>
      <scheme val="minor"/>
    </font>
    <font>
      <b/>
      <sz val="8"/>
      <color theme="7"/>
      <name val="Arial"/>
      <family val="2"/>
    </font>
  </fonts>
  <fills count="6">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
      <patternFill patternType="solid">
        <fgColor rgb="FFC6EFCE"/>
      </patternFill>
    </fill>
  </fills>
  <borders count="13">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style="medium">
        <color rgb="FFFFFFFF"/>
      </left>
      <right style="medium">
        <color theme="0"/>
      </right>
      <top style="medium">
        <color theme="0"/>
      </top>
      <bottom/>
      <diagonal/>
    </border>
    <border>
      <left style="medium">
        <color rgb="FFFFFFFF"/>
      </left>
      <right style="medium">
        <color theme="0"/>
      </right>
      <top/>
      <bottom/>
      <diagonal/>
    </border>
    <border>
      <left style="medium">
        <color rgb="FFFFFFFF"/>
      </left>
      <right style="medium">
        <color theme="0"/>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diagonal/>
    </border>
    <border>
      <left style="medium">
        <color theme="0"/>
      </left>
      <right style="medium">
        <color rgb="FFFFFFFF"/>
      </right>
      <top/>
      <bottom style="medium">
        <color theme="0"/>
      </bottom>
      <diagonal/>
    </border>
  </borders>
  <cellStyleXfs count="2">
    <xf numFmtId="0" fontId="0" fillId="0" borderId="0"/>
    <xf numFmtId="0" fontId="3" fillId="5" borderId="0" applyNumberFormat="0" applyBorder="0" applyAlignment="0" applyProtection="0"/>
  </cellStyleXfs>
  <cellXfs count="34">
    <xf numFmtId="0" fontId="0" fillId="0" borderId="0" xfId="0"/>
    <xf numFmtId="0" fontId="0" fillId="0" borderId="0" xfId="0" applyAlignment="1">
      <alignment wrapText="1"/>
    </xf>
    <xf numFmtId="0" fontId="2" fillId="2" borderId="1" xfId="0" applyFont="1" applyFill="1" applyBorder="1" applyAlignment="1">
      <alignment horizontal="center" vertical="center" wrapText="1" readingOrder="1"/>
    </xf>
    <xf numFmtId="0" fontId="0" fillId="0" borderId="0" xfId="0" applyAlignment="1">
      <alignment horizontal="center" wrapText="1"/>
    </xf>
    <xf numFmtId="0" fontId="0" fillId="0" borderId="0" xfId="0" applyAlignment="1">
      <alignment horizontal="center"/>
    </xf>
    <xf numFmtId="164" fontId="4" fillId="5" borderId="3" xfId="1" quotePrefix="1" applyNumberFormat="1" applyFont="1" applyBorder="1" applyAlignment="1">
      <alignment horizontal="center" vertical="center" wrapText="1" readingOrder="1"/>
    </xf>
    <xf numFmtId="0" fontId="1" fillId="3" borderId="3" xfId="0" quotePrefix="1"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3" fontId="1" fillId="3" borderId="3" xfId="0" quotePrefix="1" applyNumberFormat="1" applyFont="1" applyFill="1" applyBorder="1" applyAlignment="1">
      <alignment horizontal="center" vertical="center" wrapText="1" readingOrder="1"/>
    </xf>
    <xf numFmtId="44" fontId="4" fillId="5" borderId="3" xfId="1" quotePrefix="1" applyNumberFormat="1" applyFont="1" applyBorder="1" applyAlignment="1">
      <alignment horizontal="center" vertical="center" wrapText="1" readingOrder="1"/>
    </xf>
    <xf numFmtId="3" fontId="1"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left" vertical="center" wrapText="1" readingOrder="1"/>
    </xf>
    <xf numFmtId="0" fontId="5" fillId="3" borderId="3" xfId="0" quotePrefix="1" applyFont="1" applyFill="1" applyBorder="1" applyAlignment="1">
      <alignment horizontal="center" vertical="center" wrapText="1" readingOrder="1"/>
    </xf>
    <xf numFmtId="1" fontId="1" fillId="3" borderId="3" xfId="0" quotePrefix="1" applyNumberFormat="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5" fillId="3" borderId="7" xfId="0" quotePrefix="1" applyFont="1" applyFill="1" applyBorder="1" applyAlignment="1">
      <alignment vertical="center" wrapText="1" readingOrder="1"/>
    </xf>
    <xf numFmtId="165" fontId="1" fillId="3" borderId="3" xfId="0" quotePrefix="1" applyNumberFormat="1" applyFont="1" applyFill="1" applyBorder="1" applyAlignment="1">
      <alignment horizontal="center" vertical="center" wrapText="1" readingOrder="1"/>
    </xf>
    <xf numFmtId="0" fontId="7" fillId="3" borderId="3" xfId="0" quotePrefix="1" applyFont="1" applyFill="1" applyBorder="1" applyAlignment="1">
      <alignment horizontal="center" vertical="center" wrapText="1" readingOrder="1"/>
    </xf>
    <xf numFmtId="0" fontId="1" fillId="3" borderId="10" xfId="0" quotePrefix="1" applyFont="1" applyFill="1" applyBorder="1" applyAlignment="1">
      <alignment horizontal="center" vertical="center" wrapText="1" readingOrder="1"/>
    </xf>
    <xf numFmtId="0" fontId="1" fillId="3" borderId="11" xfId="0" quotePrefix="1" applyFont="1" applyFill="1" applyBorder="1" applyAlignment="1">
      <alignment horizontal="center" vertical="center" wrapText="1" readingOrder="1"/>
    </xf>
    <xf numFmtId="0" fontId="1" fillId="3" borderId="12" xfId="0" quotePrefix="1" applyFont="1" applyFill="1" applyBorder="1" applyAlignment="1">
      <alignment horizontal="center" vertical="center" wrapText="1" readingOrder="1"/>
    </xf>
    <xf numFmtId="3" fontId="1" fillId="3" borderId="7" xfId="0" quotePrefix="1" applyNumberFormat="1" applyFont="1" applyFill="1" applyBorder="1" applyAlignment="1">
      <alignment horizontal="center" vertical="center" wrapText="1" readingOrder="1"/>
    </xf>
    <xf numFmtId="3" fontId="1" fillId="3" borderId="8" xfId="0" quotePrefix="1" applyNumberFormat="1" applyFont="1" applyFill="1" applyBorder="1" applyAlignment="1">
      <alignment horizontal="center" vertical="center" wrapText="1" readingOrder="1"/>
    </xf>
    <xf numFmtId="3" fontId="1" fillId="3" borderId="9" xfId="0" quotePrefix="1" applyNumberFormat="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5" fillId="3" borderId="7" xfId="0" quotePrefix="1" applyFont="1" applyFill="1" applyBorder="1" applyAlignment="1">
      <alignment horizontal="center" vertical="center" wrapText="1" readingOrder="1"/>
    </xf>
    <xf numFmtId="0" fontId="5" fillId="3" borderId="8" xfId="0" quotePrefix="1" applyFont="1" applyFill="1" applyBorder="1" applyAlignment="1">
      <alignment horizontal="center" vertical="center" wrapText="1" readingOrder="1"/>
    </xf>
    <xf numFmtId="0" fontId="5" fillId="3" borderId="9" xfId="0" quotePrefix="1" applyFont="1" applyFill="1" applyBorder="1" applyAlignment="1">
      <alignment horizontal="center" vertical="center" wrapText="1" readingOrder="1"/>
    </xf>
    <xf numFmtId="0" fontId="1" fillId="3" borderId="10" xfId="0" quotePrefix="1" applyFont="1" applyFill="1" applyBorder="1" applyAlignment="1">
      <alignment horizontal="left" vertical="center" wrapText="1" readingOrder="1"/>
    </xf>
    <xf numFmtId="0" fontId="1" fillId="3" borderId="11" xfId="0" quotePrefix="1" applyFont="1" applyFill="1" applyBorder="1" applyAlignment="1">
      <alignment horizontal="left" vertical="center" wrapText="1" readingOrder="1"/>
    </xf>
    <xf numFmtId="0" fontId="1" fillId="3" borderId="12" xfId="0" quotePrefix="1" applyFont="1" applyFill="1" applyBorder="1" applyAlignment="1">
      <alignment horizontal="left" vertical="center" wrapText="1" readingOrder="1"/>
    </xf>
  </cellXfs>
  <cellStyles count="2">
    <cellStyle name="Good" xfId="1" builtinId="26"/>
    <cellStyle name="Normal" xfId="0" builtinId="0"/>
  </cellStyles>
  <dxfs count="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Xiangwei Chen ALF RPSBE1" id="{7ABD59D3-6060-45E0-AE29-8D6A0F83BAD9}" userId="S::xiangwei.chen@zf-lifetec.com::23759faa-b675-4288-af44-d36df42352b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2" dT="2026-03-03T17:41:23.20" personId="{7ABD59D3-6060-45E0-AE29-8D6A0F83BAD9}" id="{33F13E97-F7BD-432E-9791-09CE0BCCC180}">
    <text>To be amortized</text>
  </threadedComment>
  <threadedComment ref="S3" dT="2026-03-04T18:17:46.05" personId="{7ABD59D3-6060-45E0-AE29-8D6A0F83BAD9}" id="{F3377368-AC36-42E7-930D-3BD971C07B02}">
    <text>With Amortisation added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31"/>
  <sheetViews>
    <sheetView tabSelected="1" topLeftCell="A6" zoomScaleNormal="100" workbookViewId="0">
      <selection activeCell="G7" sqref="G7"/>
    </sheetView>
  </sheetViews>
  <sheetFormatPr defaultColWidth="9.109375" defaultRowHeight="14.4" x14ac:dyDescent="0.3"/>
  <cols>
    <col min="1" max="3" width="8.88671875" style="4"/>
    <col min="4" max="4" width="13.109375" style="4" customWidth="1"/>
    <col min="5" max="5" width="11.5546875" style="4" customWidth="1"/>
    <col min="6" max="6" width="11.109375" style="4" customWidth="1"/>
    <col min="7" max="7" width="20.6640625" style="4" customWidth="1"/>
    <col min="8" max="8" width="10.88671875" style="4" customWidth="1"/>
    <col min="9" max="9" width="13.88671875" style="4" customWidth="1"/>
    <col min="10" max="10" width="14.44140625" style="4" customWidth="1"/>
    <col min="11" max="11" width="10.109375" style="4" customWidth="1"/>
    <col min="12" max="12" width="9.109375" style="4"/>
    <col min="13" max="13" width="12" style="4" customWidth="1"/>
    <col min="14" max="14" width="11.33203125" style="4" customWidth="1"/>
    <col min="15" max="15" width="24.77734375" style="4" customWidth="1"/>
    <col min="16" max="16" width="17.109375" style="4" customWidth="1"/>
    <col min="17" max="17" width="38.6640625" style="4" customWidth="1"/>
    <col min="18" max="18" width="12.44140625" style="4" customWidth="1"/>
    <col min="19" max="19" width="13.109375" style="4" customWidth="1"/>
    <col min="20" max="22" width="10.88671875" style="4" customWidth="1"/>
    <col min="23" max="23" width="12.109375" style="4" bestFit="1" customWidth="1"/>
    <col min="24" max="26" width="10.88671875" style="4" customWidth="1"/>
  </cols>
  <sheetData>
    <row r="1" spans="1:26" s="1" customFormat="1" ht="42.6" customHeight="1" thickBot="1" x14ac:dyDescent="0.35">
      <c r="A1" s="2" t="s">
        <v>0</v>
      </c>
      <c r="B1" s="2" t="s">
        <v>1</v>
      </c>
      <c r="C1" s="2" t="s">
        <v>2</v>
      </c>
      <c r="D1" s="2" t="s">
        <v>4</v>
      </c>
      <c r="E1" s="2" t="s">
        <v>5</v>
      </c>
      <c r="F1" s="2" t="s">
        <v>15</v>
      </c>
      <c r="G1" s="2" t="s">
        <v>9</v>
      </c>
      <c r="H1" s="2" t="s">
        <v>13</v>
      </c>
      <c r="I1" s="2" t="s">
        <v>10</v>
      </c>
      <c r="J1" s="2" t="s">
        <v>11</v>
      </c>
      <c r="K1" s="2" t="s">
        <v>6</v>
      </c>
      <c r="L1" s="2" t="s">
        <v>7</v>
      </c>
      <c r="M1" s="2" t="s">
        <v>8</v>
      </c>
      <c r="N1" s="2" t="s">
        <v>3</v>
      </c>
      <c r="O1" s="2" t="s">
        <v>25</v>
      </c>
      <c r="P1" s="2" t="s">
        <v>12</v>
      </c>
      <c r="Q1" s="2" t="s">
        <v>14</v>
      </c>
      <c r="R1" s="7" t="s">
        <v>16</v>
      </c>
      <c r="S1" s="7" t="s">
        <v>17</v>
      </c>
      <c r="T1" s="8" t="s">
        <v>18</v>
      </c>
      <c r="U1" s="8" t="s">
        <v>19</v>
      </c>
      <c r="V1" s="8" t="s">
        <v>22</v>
      </c>
      <c r="W1" s="8" t="s">
        <v>20</v>
      </c>
      <c r="X1" s="7" t="s">
        <v>23</v>
      </c>
      <c r="Y1" s="7" t="s">
        <v>21</v>
      </c>
      <c r="Z1" s="7" t="s">
        <v>24</v>
      </c>
    </row>
    <row r="2" spans="1:26" s="1" customFormat="1" ht="148.19999999999999" customHeight="1" thickBot="1" x14ac:dyDescent="0.35">
      <c r="A2" s="6">
        <v>1</v>
      </c>
      <c r="B2" s="6" t="s">
        <v>26</v>
      </c>
      <c r="C2" s="6" t="s">
        <v>39</v>
      </c>
      <c r="D2" s="6" t="s">
        <v>40</v>
      </c>
      <c r="E2" s="9" t="s">
        <v>41</v>
      </c>
      <c r="F2" s="9" t="s">
        <v>42</v>
      </c>
      <c r="G2" s="14">
        <v>110000032990</v>
      </c>
      <c r="H2" s="6" t="s">
        <v>43</v>
      </c>
      <c r="I2" s="6" t="s">
        <v>44</v>
      </c>
      <c r="J2" s="6" t="s">
        <v>45</v>
      </c>
      <c r="K2" s="9" t="s">
        <v>46</v>
      </c>
      <c r="L2" s="9" t="s">
        <v>27</v>
      </c>
      <c r="M2" s="6" t="s">
        <v>47</v>
      </c>
      <c r="N2" s="6" t="s">
        <v>48</v>
      </c>
      <c r="O2" s="12" t="s">
        <v>98</v>
      </c>
      <c r="P2" s="13" t="s">
        <v>92</v>
      </c>
      <c r="Q2" s="11"/>
      <c r="R2" s="17" t="s">
        <v>86</v>
      </c>
      <c r="S2" s="17" t="s">
        <v>85</v>
      </c>
      <c r="T2" s="9">
        <v>335400</v>
      </c>
      <c r="U2" s="9">
        <v>3018600</v>
      </c>
      <c r="V2" s="5">
        <f>(0.5397-0.6772)*T2</f>
        <v>-46117.500000000022</v>
      </c>
      <c r="W2" s="5">
        <f>(0.5397-0.6772)*U2</f>
        <v>-415057.50000000017</v>
      </c>
      <c r="X2" s="9">
        <v>0</v>
      </c>
      <c r="Y2" s="6" t="s">
        <v>87</v>
      </c>
      <c r="Z2" s="10">
        <f>50060</f>
        <v>50060</v>
      </c>
    </row>
    <row r="3" spans="1:26" s="1" customFormat="1" ht="118.35" customHeight="1" thickBot="1" x14ac:dyDescent="0.35">
      <c r="A3" s="6">
        <v>2</v>
      </c>
      <c r="B3" s="6" t="s">
        <v>26</v>
      </c>
      <c r="C3" s="6" t="s">
        <v>37</v>
      </c>
      <c r="D3" s="6" t="s">
        <v>49</v>
      </c>
      <c r="E3" s="9" t="s">
        <v>50</v>
      </c>
      <c r="F3" s="9" t="s">
        <v>51</v>
      </c>
      <c r="G3" s="14">
        <v>110000033316</v>
      </c>
      <c r="H3" s="6" t="s">
        <v>52</v>
      </c>
      <c r="I3" s="6" t="s">
        <v>53</v>
      </c>
      <c r="J3" s="6" t="s">
        <v>54</v>
      </c>
      <c r="K3" s="9" t="s">
        <v>55</v>
      </c>
      <c r="L3" s="9" t="s">
        <v>27</v>
      </c>
      <c r="M3" s="6" t="s">
        <v>58</v>
      </c>
      <c r="N3" s="6" t="s">
        <v>57</v>
      </c>
      <c r="O3" s="12" t="s">
        <v>104</v>
      </c>
      <c r="P3" s="13" t="s">
        <v>92</v>
      </c>
      <c r="Q3" s="11" t="s">
        <v>99</v>
      </c>
      <c r="R3" s="9" t="s">
        <v>56</v>
      </c>
      <c r="S3" s="6" t="s">
        <v>103</v>
      </c>
      <c r="T3" s="9">
        <v>124087</v>
      </c>
      <c r="U3" s="9">
        <v>992696</v>
      </c>
      <c r="V3" s="5">
        <f>(8.55-10.89)*T3</f>
        <v>-290363.57999999996</v>
      </c>
      <c r="W3" s="5">
        <f>(8.55-10.89)*U3</f>
        <v>-2322908.6399999997</v>
      </c>
      <c r="X3" s="9">
        <v>0</v>
      </c>
      <c r="Y3" s="6">
        <v>0</v>
      </c>
      <c r="Z3" s="10">
        <v>0</v>
      </c>
    </row>
    <row r="4" spans="1:26" s="1" customFormat="1" ht="118.35" customHeight="1" thickBot="1" x14ac:dyDescent="0.35">
      <c r="A4" s="19">
        <v>3</v>
      </c>
      <c r="B4" s="6" t="s">
        <v>59</v>
      </c>
      <c r="C4" s="6" t="s">
        <v>60</v>
      </c>
      <c r="D4" s="6" t="s">
        <v>61</v>
      </c>
      <c r="E4" s="9" t="s">
        <v>62</v>
      </c>
      <c r="F4" s="9" t="s">
        <v>63</v>
      </c>
      <c r="G4" s="14" t="s">
        <v>64</v>
      </c>
      <c r="H4" s="6" t="s">
        <v>65</v>
      </c>
      <c r="I4" s="6" t="s">
        <v>66</v>
      </c>
      <c r="J4" s="6" t="s">
        <v>67</v>
      </c>
      <c r="K4" s="9" t="s">
        <v>68</v>
      </c>
      <c r="L4" s="22" t="s">
        <v>27</v>
      </c>
      <c r="M4" s="6" t="s">
        <v>69</v>
      </c>
      <c r="N4" s="6" t="s">
        <v>70</v>
      </c>
      <c r="O4" s="12" t="s">
        <v>96</v>
      </c>
      <c r="P4" s="18" t="s">
        <v>94</v>
      </c>
      <c r="Q4" s="11" t="s">
        <v>95</v>
      </c>
      <c r="R4" s="9" t="s">
        <v>84</v>
      </c>
      <c r="S4" s="6" t="s">
        <v>83</v>
      </c>
      <c r="T4" s="9">
        <v>891042</v>
      </c>
      <c r="U4" s="9">
        <v>3564167</v>
      </c>
      <c r="V4" s="5">
        <f>(0.41623-0.463)*T4</f>
        <v>-41674.034340000027</v>
      </c>
      <c r="W4" s="5">
        <f>(0.41623-0.463)*U4</f>
        <v>-166696.09059000012</v>
      </c>
      <c r="X4" s="9">
        <v>0</v>
      </c>
      <c r="Y4" s="6">
        <v>0</v>
      </c>
      <c r="Z4" s="10">
        <v>0</v>
      </c>
    </row>
    <row r="5" spans="1:26" s="1" customFormat="1" ht="175.8" customHeight="1" thickBot="1" x14ac:dyDescent="0.35">
      <c r="A5" s="20"/>
      <c r="B5" s="6" t="s">
        <v>36</v>
      </c>
      <c r="C5" s="6" t="s">
        <v>60</v>
      </c>
      <c r="D5" s="6" t="s">
        <v>71</v>
      </c>
      <c r="E5" s="9" t="s">
        <v>62</v>
      </c>
      <c r="F5" s="9" t="s">
        <v>63</v>
      </c>
      <c r="G5" s="14" t="s">
        <v>72</v>
      </c>
      <c r="H5" s="6" t="s">
        <v>65</v>
      </c>
      <c r="I5" s="6" t="s">
        <v>73</v>
      </c>
      <c r="J5" s="6" t="s">
        <v>67</v>
      </c>
      <c r="K5" s="9" t="s">
        <v>68</v>
      </c>
      <c r="L5" s="23"/>
      <c r="M5" s="6" t="s">
        <v>74</v>
      </c>
      <c r="N5" s="6" t="s">
        <v>88</v>
      </c>
      <c r="O5" s="12" t="s">
        <v>93</v>
      </c>
      <c r="P5" s="18" t="s">
        <v>94</v>
      </c>
      <c r="Q5" s="11" t="s">
        <v>100</v>
      </c>
      <c r="R5" s="9" t="s">
        <v>79</v>
      </c>
      <c r="S5" s="9" t="s">
        <v>80</v>
      </c>
      <c r="T5" s="9">
        <v>397414</v>
      </c>
      <c r="U5" s="9">
        <v>3974137</v>
      </c>
      <c r="V5" s="5">
        <f>(0.4128-0.5)*397414</f>
        <v>-34654.500800000002</v>
      </c>
      <c r="W5" s="5">
        <f>(0.4128-0.5)*3974137</f>
        <v>-346544.7464</v>
      </c>
      <c r="X5" s="9">
        <v>0</v>
      </c>
      <c r="Y5" s="6">
        <v>0</v>
      </c>
      <c r="Z5" s="10">
        <v>0</v>
      </c>
    </row>
    <row r="6" spans="1:26" s="1" customFormat="1" ht="118.35" customHeight="1" thickBot="1" x14ac:dyDescent="0.35">
      <c r="A6" s="21"/>
      <c r="B6" s="6" t="s">
        <v>36</v>
      </c>
      <c r="C6" s="6" t="s">
        <v>60</v>
      </c>
      <c r="D6" s="6" t="s">
        <v>71</v>
      </c>
      <c r="E6" s="9" t="s">
        <v>62</v>
      </c>
      <c r="F6" s="9" t="s">
        <v>63</v>
      </c>
      <c r="G6" s="14" t="s">
        <v>75</v>
      </c>
      <c r="H6" s="6" t="s">
        <v>65</v>
      </c>
      <c r="I6" s="6" t="s">
        <v>76</v>
      </c>
      <c r="J6" s="6" t="s">
        <v>67</v>
      </c>
      <c r="K6" s="9" t="s">
        <v>68</v>
      </c>
      <c r="L6" s="24"/>
      <c r="M6" s="6" t="s">
        <v>77</v>
      </c>
      <c r="N6" s="6" t="s">
        <v>78</v>
      </c>
      <c r="O6" s="12" t="s">
        <v>102</v>
      </c>
      <c r="P6" s="18" t="s">
        <v>94</v>
      </c>
      <c r="Q6" s="11" t="s">
        <v>105</v>
      </c>
      <c r="R6" s="9" t="s">
        <v>81</v>
      </c>
      <c r="S6" s="6" t="s">
        <v>82</v>
      </c>
      <c r="T6" s="9">
        <v>40614</v>
      </c>
      <c r="U6" s="9">
        <v>406143</v>
      </c>
      <c r="V6" s="5">
        <f>(0.4945-0.55)*40614</f>
        <v>-2254.077000000002</v>
      </c>
      <c r="W6" s="5">
        <f>(0.4945-0.55)*406143</f>
        <v>-22540.936500000022</v>
      </c>
      <c r="X6" s="9">
        <v>0</v>
      </c>
      <c r="Y6" s="6">
        <v>0</v>
      </c>
      <c r="Z6" s="10">
        <v>0</v>
      </c>
    </row>
    <row r="7" spans="1:26" s="1" customFormat="1" ht="180.6" customHeight="1" thickBot="1" x14ac:dyDescent="0.35">
      <c r="A7" s="6">
        <v>4</v>
      </c>
      <c r="B7" s="6" t="s">
        <v>36</v>
      </c>
      <c r="C7" s="6" t="s">
        <v>37</v>
      </c>
      <c r="D7" s="6" t="s">
        <v>38</v>
      </c>
      <c r="E7" s="9" t="s">
        <v>28</v>
      </c>
      <c r="F7" s="9" t="s">
        <v>29</v>
      </c>
      <c r="G7" s="14">
        <v>110000032694</v>
      </c>
      <c r="H7" s="6" t="s">
        <v>30</v>
      </c>
      <c r="I7" s="6" t="s">
        <v>31</v>
      </c>
      <c r="J7" s="6" t="s">
        <v>32</v>
      </c>
      <c r="K7" s="9" t="s">
        <v>33</v>
      </c>
      <c r="L7" s="9" t="s">
        <v>34</v>
      </c>
      <c r="M7" s="6" t="s">
        <v>35</v>
      </c>
      <c r="N7" s="6" t="s">
        <v>89</v>
      </c>
      <c r="O7" s="12" t="s">
        <v>97</v>
      </c>
      <c r="P7" s="13" t="s">
        <v>92</v>
      </c>
      <c r="Q7" s="11" t="s">
        <v>101</v>
      </c>
      <c r="R7" s="17" t="s">
        <v>90</v>
      </c>
      <c r="S7" s="17" t="s">
        <v>91</v>
      </c>
      <c r="T7" s="9">
        <v>273862</v>
      </c>
      <c r="U7" s="9">
        <v>2464762</v>
      </c>
      <c r="V7" s="5">
        <f>(0.5313-0.72)*T7</f>
        <v>-51677.759399999995</v>
      </c>
      <c r="W7" s="5">
        <f>(0.5313-0.72)*U7</f>
        <v>-465100.58939999994</v>
      </c>
      <c r="X7" s="9">
        <v>0</v>
      </c>
      <c r="Y7" s="6">
        <v>0</v>
      </c>
      <c r="Z7" s="10">
        <v>0</v>
      </c>
    </row>
    <row r="8" spans="1:26" s="1" customFormat="1" ht="118.35" customHeight="1" thickBot="1" x14ac:dyDescent="0.35">
      <c r="A8" s="6"/>
      <c r="B8" s="9"/>
      <c r="C8" s="6"/>
      <c r="D8" s="6"/>
      <c r="E8" s="9"/>
      <c r="F8" s="9"/>
      <c r="G8" s="14"/>
      <c r="H8" s="6"/>
      <c r="I8" s="6"/>
      <c r="J8" s="6"/>
      <c r="K8" s="9"/>
      <c r="L8" s="22"/>
      <c r="M8" s="6"/>
      <c r="N8" s="6"/>
      <c r="O8" s="12"/>
      <c r="P8" s="13"/>
      <c r="Q8" s="11"/>
      <c r="R8" s="9"/>
      <c r="S8" s="6"/>
      <c r="T8" s="9"/>
      <c r="U8" s="9"/>
      <c r="V8" s="5"/>
      <c r="W8" s="5"/>
      <c r="X8" s="9"/>
      <c r="Y8" s="6"/>
      <c r="Z8" s="10"/>
    </row>
    <row r="9" spans="1:26" s="1" customFormat="1" ht="118.35" customHeight="1" thickBot="1" x14ac:dyDescent="0.35">
      <c r="A9" s="6"/>
      <c r="B9" s="9"/>
      <c r="C9" s="6"/>
      <c r="D9" s="6"/>
      <c r="E9" s="9"/>
      <c r="F9" s="9"/>
      <c r="G9" s="14"/>
      <c r="H9" s="6"/>
      <c r="I9" s="6"/>
      <c r="J9" s="6"/>
      <c r="K9" s="9"/>
      <c r="L9" s="23"/>
      <c r="M9" s="6"/>
      <c r="N9" s="6"/>
      <c r="O9" s="12"/>
      <c r="P9" s="13"/>
      <c r="Q9" s="11"/>
      <c r="R9" s="9"/>
      <c r="S9" s="9"/>
      <c r="T9" s="9"/>
      <c r="U9" s="9"/>
      <c r="V9" s="5"/>
      <c r="W9" s="5"/>
      <c r="X9" s="9"/>
      <c r="Y9" s="6"/>
      <c r="Z9" s="10"/>
    </row>
    <row r="10" spans="1:26" s="1" customFormat="1" ht="118.35" customHeight="1" thickBot="1" x14ac:dyDescent="0.35">
      <c r="A10" s="6"/>
      <c r="B10" s="9"/>
      <c r="C10" s="6"/>
      <c r="D10" s="6"/>
      <c r="E10" s="9"/>
      <c r="F10" s="9"/>
      <c r="G10" s="14"/>
      <c r="H10" s="6"/>
      <c r="I10" s="6"/>
      <c r="J10" s="6"/>
      <c r="K10" s="9"/>
      <c r="L10" s="24"/>
      <c r="M10" s="6"/>
      <c r="N10" s="6"/>
      <c r="O10" s="12"/>
      <c r="P10" s="13"/>
      <c r="Q10" s="11"/>
      <c r="R10" s="9"/>
      <c r="S10" s="6"/>
      <c r="T10" s="9"/>
      <c r="U10" s="9"/>
      <c r="V10" s="5"/>
      <c r="W10" s="5"/>
      <c r="X10" s="9"/>
      <c r="Y10" s="6"/>
      <c r="Z10" s="10"/>
    </row>
    <row r="11" spans="1:26" s="1" customFormat="1" ht="118.35" customHeight="1" thickBot="1" x14ac:dyDescent="0.35">
      <c r="A11" s="6"/>
      <c r="B11" s="6"/>
      <c r="C11" s="6"/>
      <c r="D11" s="6"/>
      <c r="E11" s="9"/>
      <c r="F11" s="9"/>
      <c r="G11" s="6"/>
      <c r="H11" s="6"/>
      <c r="I11" s="6"/>
      <c r="J11" s="6"/>
      <c r="K11" s="9"/>
      <c r="L11" s="22"/>
      <c r="M11" s="25"/>
      <c r="N11" s="25"/>
      <c r="O11" s="31"/>
      <c r="P11" s="28"/>
      <c r="Q11" s="11"/>
      <c r="R11" s="9"/>
      <c r="S11" s="6"/>
      <c r="T11" s="9"/>
      <c r="U11" s="9"/>
      <c r="V11" s="5"/>
      <c r="W11" s="5"/>
      <c r="X11" s="9"/>
      <c r="Y11" s="6"/>
      <c r="Z11" s="10"/>
    </row>
    <row r="12" spans="1:26" s="1" customFormat="1" ht="118.35" customHeight="1" thickBot="1" x14ac:dyDescent="0.35">
      <c r="A12" s="6"/>
      <c r="B12" s="6"/>
      <c r="C12" s="6"/>
      <c r="D12" s="6"/>
      <c r="E12" s="9"/>
      <c r="F12" s="9"/>
      <c r="G12" s="6"/>
      <c r="H12" s="6"/>
      <c r="I12" s="6"/>
      <c r="J12" s="6"/>
      <c r="K12" s="9"/>
      <c r="L12" s="23"/>
      <c r="M12" s="26"/>
      <c r="N12" s="26"/>
      <c r="O12" s="32"/>
      <c r="P12" s="29"/>
      <c r="Q12" s="11"/>
      <c r="R12" s="9"/>
      <c r="S12" s="9"/>
      <c r="T12" s="9"/>
      <c r="U12" s="9"/>
      <c r="V12" s="5"/>
      <c r="W12" s="5"/>
      <c r="X12" s="9"/>
      <c r="Y12" s="6"/>
      <c r="Z12" s="10"/>
    </row>
    <row r="13" spans="1:26" s="1" customFormat="1" ht="118.35" customHeight="1" thickBot="1" x14ac:dyDescent="0.35">
      <c r="A13" s="6"/>
      <c r="B13" s="6"/>
      <c r="C13" s="6"/>
      <c r="D13" s="6"/>
      <c r="E13" s="9"/>
      <c r="F13" s="9"/>
      <c r="G13" s="6"/>
      <c r="H13" s="6"/>
      <c r="I13" s="6"/>
      <c r="J13" s="6"/>
      <c r="K13" s="9"/>
      <c r="L13" s="24"/>
      <c r="M13" s="27"/>
      <c r="N13" s="27"/>
      <c r="O13" s="33"/>
      <c r="P13" s="30"/>
      <c r="Q13" s="11"/>
      <c r="R13" s="9"/>
      <c r="S13" s="9"/>
      <c r="T13" s="9"/>
      <c r="U13" s="9"/>
      <c r="V13" s="5"/>
      <c r="W13" s="5"/>
      <c r="X13" s="9"/>
      <c r="Y13" s="6"/>
      <c r="Z13" s="10"/>
    </row>
    <row r="14" spans="1:26" s="1" customFormat="1" ht="118.35" customHeight="1" thickBot="1" x14ac:dyDescent="0.35">
      <c r="A14" s="6"/>
      <c r="B14" s="6"/>
      <c r="C14" s="6"/>
      <c r="D14" s="6"/>
      <c r="E14" s="9"/>
      <c r="F14" s="9"/>
      <c r="G14" s="14"/>
      <c r="H14" s="6"/>
      <c r="I14" s="6"/>
      <c r="J14" s="6"/>
      <c r="K14" s="9"/>
      <c r="L14" s="9"/>
      <c r="M14" s="9"/>
      <c r="N14" s="9"/>
      <c r="O14" s="12"/>
      <c r="P14" s="16"/>
      <c r="Q14" s="11"/>
      <c r="R14" s="9"/>
      <c r="S14" s="6"/>
      <c r="T14" s="9"/>
      <c r="U14" s="9"/>
      <c r="V14" s="5"/>
      <c r="W14" s="5"/>
      <c r="X14" s="9"/>
      <c r="Y14" s="6"/>
      <c r="Z14" s="10"/>
    </row>
    <row r="15" spans="1:26" s="1" customFormat="1" ht="118.35" customHeight="1" thickBot="1" x14ac:dyDescent="0.35">
      <c r="A15" s="15"/>
      <c r="B15" s="6"/>
      <c r="C15" s="6"/>
      <c r="D15" s="6"/>
      <c r="E15" s="9"/>
      <c r="F15" s="9"/>
      <c r="G15" s="14"/>
      <c r="H15" s="6"/>
      <c r="I15" s="6"/>
      <c r="J15" s="6"/>
      <c r="K15" s="9"/>
      <c r="L15" s="9"/>
      <c r="M15" s="9"/>
      <c r="N15" s="9"/>
      <c r="O15" s="12"/>
      <c r="P15" s="16"/>
      <c r="Q15" s="11"/>
      <c r="R15" s="9"/>
      <c r="S15" s="6"/>
      <c r="T15" s="9"/>
      <c r="U15" s="9"/>
      <c r="V15" s="5"/>
      <c r="W15" s="5"/>
      <c r="X15" s="9"/>
      <c r="Y15" s="6"/>
      <c r="Z15" s="10"/>
    </row>
    <row r="16" spans="1:26" s="1" customFormat="1" ht="42.6"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1" customFormat="1" ht="42.6"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1" customFormat="1" ht="42.6"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1" customFormat="1" ht="4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1" customFormat="1" ht="4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1" customFormat="1" ht="4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1" customFormat="1" ht="4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1" customFormat="1" ht="4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1" customFormat="1" ht="4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1" customFormat="1" ht="4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1" customFormat="1" ht="4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1" customFormat="1" ht="42.6"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1" customFormat="1" ht="42.6"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s="1" customFormat="1" ht="42.6"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s="1" customFormat="1" ht="42.6"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s="1" customFormat="1" ht="42.6"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sheetData>
  <mergeCells count="8">
    <mergeCell ref="A4:A6"/>
    <mergeCell ref="L4:L6"/>
    <mergeCell ref="N11:N13"/>
    <mergeCell ref="P11:P13"/>
    <mergeCell ref="O11:O13"/>
    <mergeCell ref="L8:L10"/>
    <mergeCell ref="L11:L13"/>
    <mergeCell ref="M11:M13"/>
  </mergeCells>
  <phoneticPr fontId="6" type="noConversion"/>
  <conditionalFormatting sqref="V1 V16:V1048576">
    <cfRule type="cellIs" dxfId="4" priority="68" operator="lessThan">
      <formula>0</formula>
    </cfRule>
  </conditionalFormatting>
  <conditionalFormatting sqref="V2:W15">
    <cfRule type="cellIs" dxfId="3" priority="1" operator="greaterThan">
      <formula>0</formula>
    </cfRule>
    <cfRule type="cellIs" dxfId="2" priority="2" operator="lessThan">
      <formula>0</formula>
    </cfRule>
  </conditionalFormatting>
  <conditionalFormatting sqref="Z1:Z1048576">
    <cfRule type="cellIs" dxfId="1" priority="4" operator="lessThan">
      <formula>0</formula>
    </cfRule>
  </conditionalFormatting>
  <conditionalFormatting sqref="Z2:Z15">
    <cfRule type="cellIs" dxfId="0" priority="3" operator="greaterThan">
      <formula>0</formula>
    </cfRule>
  </conditionalFormatting>
  <pageMargins left="0.7" right="0.7" top="0.75" bottom="0.75" header="0.3" footer="0.3"/>
  <pageSetup orientation="portrait" r:id="rId1"/>
  <customProperties>
    <customPr name="_pios_id" r:id="rId2"/>
    <customPr name="IbpWorksheetKeyString_GUID" r:id="rId3"/>
  </customProperties>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728a42373757fe19dbf32cb01accea12">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6d1219d07439347edf1a7dd06578600"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d00205-0ffb-4bc2-b18e-b800942d8fea" xsi:nil="true"/>
    <lcf76f155ced4ddcb4097134ff3c332f xmlns="c58f02bd-e0b7-474b-a2bc-9a19f162f3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D47DE4-3AA4-481A-8DFB-13ED52A6783C}"/>
</file>

<file path=customXml/itemProps2.xml><?xml version="1.0" encoding="utf-8"?>
<ds:datastoreItem xmlns:ds="http://schemas.openxmlformats.org/officeDocument/2006/customXml" ds:itemID="{B6D4CF25-35A0-4F39-9A06-7548EE65D686}"/>
</file>

<file path=customXml/itemProps3.xml><?xml version="1.0" encoding="utf-8"?>
<ds:datastoreItem xmlns:ds="http://schemas.openxmlformats.org/officeDocument/2006/customXml" ds:itemID="{A26BB1CB-B897-4318-9ADC-E945DD834FE3}"/>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KW10, 2026</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2026-03-09T08:29:28Z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IbpWorkbookKeyString_GUID">
    <vt:lpwstr>38fc2b40-ce9d-4aa7-a82c-e708adc4547a</vt:lpwstr>
  </property>
  <property fmtid="{D5CDD505-2E9C-101B-9397-08002B2CF9AE}" pid="10" name="ContentTypeId">
    <vt:lpwstr>0x010100D2AE94798D0E7D4487CB84FC9A87565D</vt:lpwstr>
  </property>
</Properties>
</file>