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2026/Sourcing Alignment meeting/KW20, 13.05.2026/"/>
    </mc:Choice>
  </mc:AlternateContent>
  <xr:revisionPtr revIDLastSave="0" documentId="8_{024C05D7-9625-4C04-8116-13039E2CC2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W20, 2026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4" l="1"/>
  <c r="V7" i="4"/>
  <c r="Z2" i="4"/>
  <c r="W2" i="4"/>
  <c r="V2" i="4"/>
  <c r="W3" i="4"/>
  <c r="V3" i="4"/>
  <c r="Z3" i="4"/>
  <c r="Z6" i="4"/>
  <c r="W6" i="4"/>
  <c r="V6" i="4"/>
  <c r="Z4" i="4"/>
  <c r="W4" i="4"/>
  <c r="V4" i="4"/>
  <c r="W5" i="4"/>
  <c r="V5" i="4"/>
  <c r="W11" i="4" l="1"/>
  <c r="V11" i="4"/>
  <c r="W10" i="4"/>
  <c r="V10" i="4"/>
  <c r="W8" i="4"/>
  <c r="V8" i="4"/>
  <c r="W9" i="4"/>
  <c r="V9" i="4"/>
</calcChain>
</file>

<file path=xl/sharedStrings.xml><?xml version="1.0" encoding="utf-8"?>
<sst xmlns="http://schemas.openxmlformats.org/spreadsheetml/2006/main" count="128" uniqueCount="109">
  <si>
    <t>#</t>
  </si>
  <si>
    <t>Region</t>
  </si>
  <si>
    <t>Type</t>
  </si>
  <si>
    <t>Project/ Product</t>
  </si>
  <si>
    <t>Commodity</t>
  </si>
  <si>
    <t>Parent PF Code</t>
  </si>
  <si>
    <t>SWAT ID / Bundle ID</t>
  </si>
  <si>
    <t>Part Description</t>
  </si>
  <si>
    <t>PN</t>
  </si>
  <si>
    <t>Recommended Supplier (s)</t>
  </si>
  <si>
    <t>Presenter</t>
  </si>
  <si>
    <t>Decision Level</t>
  </si>
  <si>
    <t>Peak Year Spend</t>
  </si>
  <si>
    <t xml:space="preserve">LT Spend </t>
  </si>
  <si>
    <t>Comment</t>
  </si>
  <si>
    <t xml:space="preserve">Sourcing Decision </t>
  </si>
  <si>
    <t>Notes/Task/ Resp./ Due Date</t>
  </si>
  <si>
    <t>CQA PC PRICE</t>
  </si>
  <si>
    <t>Rec. Supplier Landed</t>
  </si>
  <si>
    <t>Average Volume</t>
  </si>
  <si>
    <t>LT volume</t>
  </si>
  <si>
    <t>Average Year Saving vs CQA</t>
  </si>
  <si>
    <t>LT saving</t>
  </si>
  <si>
    <t>CQA Tooling</t>
  </si>
  <si>
    <t xml:space="preserve">Rec. Supplier Tooling </t>
  </si>
  <si>
    <t>Tooling Saving vs CQA</t>
  </si>
  <si>
    <t>L2</t>
  </si>
  <si>
    <t>NA</t>
  </si>
  <si>
    <t>GCS</t>
  </si>
  <si>
    <t xml:space="preserve">Sandra Novegil </t>
  </si>
  <si>
    <t>Funcional Plastics</t>
  </si>
  <si>
    <t xml:space="preserve">Spring Housing </t>
  </si>
  <si>
    <t>A025W248D</t>
  </si>
  <si>
    <t>CH01016  - Medium Precision</t>
  </si>
  <si>
    <t>Carryover</t>
  </si>
  <si>
    <t>T1XX-2 SUV</t>
  </si>
  <si>
    <t>Functional Plastics</t>
  </si>
  <si>
    <t>CH01023
Structural Parts</t>
  </si>
  <si>
    <t>110000032555</t>
  </si>
  <si>
    <t>Tongue</t>
  </si>
  <si>
    <t>34124529C</t>
  </si>
  <si>
    <t>Mario Lopez</t>
  </si>
  <si>
    <t>218K Euro
240K USD</t>
  </si>
  <si>
    <t>1,53 Mio Euro
1,68 Mio USD</t>
  </si>
  <si>
    <t>1. Only sourcing overmolding process, metal inserts from ZF Midland</t>
  </si>
  <si>
    <t>1. To add BPG and share analysis -- CM Mario
Sourcing decision to follow after checking BPG analysis</t>
  </si>
  <si>
    <t>0,39 Euro/pc
0.43 USD/pc</t>
  </si>
  <si>
    <t>0,33 Euro/pc
0.36 USD/pc</t>
  </si>
  <si>
    <t>New Part</t>
  </si>
  <si>
    <t>110000032477</t>
  </si>
  <si>
    <t>R000N025D</t>
  </si>
  <si>
    <t>L3</t>
  </si>
  <si>
    <t xml:space="preserve">SPR6 
GM C1UC/UL2, NCAR, T1 SUV, T2 SUV, R2 </t>
  </si>
  <si>
    <t>260K Euro
286K USD</t>
  </si>
  <si>
    <t>1,82 Mio Euro
2 Mio USD</t>
  </si>
  <si>
    <t>0,1851 Euro/pc
0,20361 USD/pc</t>
  </si>
  <si>
    <t>0,18936 Euro/pc
0,20830 USD/pc</t>
  </si>
  <si>
    <t>0,39 Euro/pc
0,43 USD/pc</t>
  </si>
  <si>
    <t>0,21Euro/pc
0,23 USD/pc</t>
  </si>
  <si>
    <t>151,818 Euro
167,000 USD</t>
  </si>
  <si>
    <t>1,1 Mio Euro
1,2 Mio USD</t>
  </si>
  <si>
    <t>151K Euro
166K USD</t>
  </si>
  <si>
    <t>151,409 Euro
166,550 USD</t>
  </si>
  <si>
    <t>148,636 Euro
163,500 USD</t>
  </si>
  <si>
    <t>145,455 Euro
160,000 USD</t>
  </si>
  <si>
    <t>Fawn Mexico, Inc., US</t>
  </si>
  <si>
    <t>Eclipse Mold, Inc., US</t>
  </si>
  <si>
    <t>Maple Valley Plastics,
LLC, US</t>
  </si>
  <si>
    <t>Carry over</t>
  </si>
  <si>
    <t>Power Snake</t>
  </si>
  <si>
    <t>A024W219B</t>
  </si>
  <si>
    <t>Alberto Martinez</t>
  </si>
  <si>
    <t xml:space="preserve">SPR 6.1
NCAR, R2, T1 SUV, T2 SUV
</t>
  </si>
  <si>
    <t>Prism México, S. de R.L. de C.V.</t>
  </si>
  <si>
    <t>228K Euro
251K USD</t>
  </si>
  <si>
    <t>1,60 Mio Euro
1,76 Mio USD</t>
  </si>
  <si>
    <t>148,136 Euro
162,950 USD</t>
  </si>
  <si>
    <t>109,091 Euro
120,000 USD</t>
  </si>
  <si>
    <t>0,11464 Euro/pc
0,12610 USD/pc</t>
  </si>
  <si>
    <t>0,16645 Euro/pc
0,18309 USD/pc</t>
  </si>
  <si>
    <t>AP</t>
  </si>
  <si>
    <t>JAC X2411</t>
  </si>
  <si>
    <t>CH01014
High Precision</t>
  </si>
  <si>
    <t>Textle</t>
  </si>
  <si>
    <t>MI03006
Webbing</t>
  </si>
  <si>
    <t>B/2026/00086</t>
  </si>
  <si>
    <t>panel rukaflex Webbing</t>
  </si>
  <si>
    <t>R004H119A, R004H128A, R004H136A, 
R004F824A,
R004F816A, 
R004E262A</t>
  </si>
  <si>
    <t>Hmt(xiamen)new technical materialsc</t>
  </si>
  <si>
    <t>Chris Yang</t>
  </si>
  <si>
    <t>374K Euro
2,96 Mio RMB</t>
  </si>
  <si>
    <t>2,12 Mio Euro
16,7 Mio RMB</t>
  </si>
  <si>
    <t>0,18 Euro/m
1,45 RMB/m</t>
  </si>
  <si>
    <t>0 Euro
0 RMB</t>
  </si>
  <si>
    <t>1. Same case was closed in 2025 awarding it to Alfdorf. Now intention is to have it local</t>
  </si>
  <si>
    <t xml:space="preserve">1. Aldorf already has this part in serial production. We will use Aldorf for PV, but the plan is to start serial production with Eclipse.  CCB Approved </t>
  </si>
  <si>
    <t>1. Limited project timing, from handover to SOP less than 6 months;
2. HMT is existing webbing supplier for JAC project which was nominate by our competitor;
3. JAC next vehicle is fully nominated to our competitor
4. Aligned with family team, considering all restrictions and facts, project will not consider
Weihai in-house</t>
  </si>
  <si>
    <t>GM C1UC/UL2</t>
  </si>
  <si>
    <t>EA03004</t>
  </si>
  <si>
    <t>R004B096A</t>
  </si>
  <si>
    <t>ODW-Elektrik GmbH</t>
  </si>
  <si>
    <t>Fabiola Rodriguez</t>
  </si>
  <si>
    <t>805K Euro
885K USD</t>
  </si>
  <si>
    <t>129K Euro
142K USD</t>
  </si>
  <si>
    <t>1,520 Euro/pc
1,672 USD/pc</t>
  </si>
  <si>
    <t>1,510 Euro/pc
1,661 USD/pc</t>
  </si>
  <si>
    <t>EA0300401
Wireharness Assemblies</t>
  </si>
  <si>
    <t>Hall Switch</t>
  </si>
  <si>
    <t xml:space="preserve">Recap, presented in KW18,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</si>
</sst>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[$€-407];\-#,##0\ [$€-407]"/>
    <numFmt numFmtId="165" formatCode="_-* #,##0\ &quot;€&quot;_-;\-* #,##0\ &quot;€&quot;_-;_-* &quot;-&quot;??\ &quot;€&quot;_-;_-@_-"/>
    <numFmt numFmtId="166" formatCode="_([$€-2]\ * #,##0.00_);_([$€-2]\ * \(#,##0.00\);_([$€-2]\ * &quot;-&quot;??_);_(@_)"/>
  </numFmts>
  <fonts count="17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11"/>
      <color rgb="FF006100"/>
      <name val="Calibri"/>
      <family val="2"/>
      <scheme val="minor"/>
    </font>
    <font>
      <sz val="8"/>
      <color rgb="FF006100"/>
      <name val="Arial"/>
      <family val="2"/>
    </font>
    <font>
      <b/>
      <sz val="8"/>
      <color theme="9"/>
      <name val="Arial"/>
      <family val="2"/>
    </font>
    <font>
      <sz val="8"/>
      <name val="Calibri"/>
      <family val="2"/>
      <scheme val="minor"/>
    </font>
    <font>
      <b/>
      <sz val="8"/>
      <color rgb="FF00B050"/>
      <name val="Arial"/>
      <family val="2"/>
    </font>
    <font>
      <b/>
      <sz val="8"/>
      <color theme="5"/>
      <name val="Arial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strike/>
      <sz val="8"/>
      <color rgb="FF000000"/>
      <name val="Arial"/>
      <family val="2"/>
    </font>
    <font>
      <b/>
      <strike/>
      <sz val="8"/>
      <color rgb="FF00B050"/>
      <name val="Arial"/>
      <family val="2"/>
    </font>
    <font>
      <strike/>
      <sz val="8"/>
      <color rgb="FF006100"/>
      <name val="Arial"/>
      <family val="2"/>
    </font>
    <font>
      <strike/>
      <sz val="8"/>
      <color rgb="FFFF0000"/>
      <name val="Arial"/>
      <family val="2"/>
    </font>
    <font>
      <strike/>
      <sz val="11"/>
      <color theme="1"/>
      <name val="Calibri"/>
      <family val="2"/>
      <scheme val="minor"/>
    </font>
    <font>
      <b/>
      <strike/>
      <sz val="8"/>
      <color theme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  <fill>
      <patternFill patternType="solid">
        <fgColor rgb="FFF6CECC"/>
        <bgColor rgb="FF000000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rgb="FFFFFFFF"/>
      </right>
      <top style="medium">
        <color theme="0"/>
      </top>
      <bottom/>
      <diagonal/>
    </border>
    <border>
      <left style="medium">
        <color theme="0"/>
      </left>
      <right style="medium">
        <color rgb="FFFFFFFF"/>
      </right>
      <top/>
      <bottom/>
      <diagonal/>
    </border>
    <border>
      <left style="medium">
        <color theme="0"/>
      </left>
      <right style="medium">
        <color rgb="FFFFFFFF"/>
      </right>
      <top/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43" fontId="9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4" fontId="4" fillId="5" borderId="3" xfId="1" quotePrefix="1" applyNumberFormat="1" applyFont="1" applyBorder="1" applyAlignment="1">
      <alignment horizontal="center"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center" vertical="center" wrapText="1" readingOrder="1"/>
    </xf>
    <xf numFmtId="44" fontId="4" fillId="5" borderId="3" xfId="1" quotePrefix="1" applyNumberFormat="1" applyFont="1" applyBorder="1" applyAlignment="1">
      <alignment horizontal="center" vertical="center" wrapText="1" readingOrder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5" fillId="3" borderId="3" xfId="0" quotePrefix="1" applyFont="1" applyFill="1" applyBorder="1" applyAlignment="1">
      <alignment horizontal="center" vertical="center" wrapText="1" readingOrder="1"/>
    </xf>
    <xf numFmtId="1" fontId="1" fillId="3" borderId="3" xfId="0" quotePrefix="1" applyNumberFormat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0" fontId="5" fillId="3" borderId="7" xfId="0" quotePrefix="1" applyFont="1" applyFill="1" applyBorder="1" applyAlignment="1">
      <alignment horizontal="center" vertical="center" wrapText="1" readingOrder="1"/>
    </xf>
    <xf numFmtId="0" fontId="8" fillId="3" borderId="3" xfId="0" quotePrefix="1" applyFont="1" applyFill="1" applyBorder="1" applyAlignment="1">
      <alignment horizontal="center" vertical="center" wrapText="1" readingOrder="1"/>
    </xf>
    <xf numFmtId="165" fontId="4" fillId="5" borderId="3" xfId="1" quotePrefix="1" applyNumberFormat="1" applyFont="1" applyBorder="1" applyAlignment="1">
      <alignment horizontal="center" vertical="center" wrapText="1" readingOrder="1"/>
    </xf>
    <xf numFmtId="0" fontId="7" fillId="3" borderId="3" xfId="0" quotePrefix="1" applyFont="1" applyFill="1" applyBorder="1" applyAlignment="1">
      <alignment horizontal="center" vertical="center" wrapText="1" readingOrder="1"/>
    </xf>
    <xf numFmtId="166" fontId="1" fillId="3" borderId="3" xfId="0" quotePrefix="1" applyNumberFormat="1" applyFont="1" applyFill="1" applyBorder="1" applyAlignment="1">
      <alignment vertical="center" wrapText="1" readingOrder="1"/>
    </xf>
    <xf numFmtId="166" fontId="10" fillId="3" borderId="3" xfId="0" quotePrefix="1" applyNumberFormat="1" applyFont="1" applyFill="1" applyBorder="1" applyAlignment="1">
      <alignment horizontal="center" vertical="center" wrapText="1" readingOrder="1"/>
    </xf>
    <xf numFmtId="0" fontId="1" fillId="6" borderId="13" xfId="0" applyFont="1" applyFill="1" applyBorder="1" applyAlignment="1">
      <alignment horizontal="center" vertical="center" wrapText="1" readingOrder="1"/>
    </xf>
    <xf numFmtId="1" fontId="1" fillId="6" borderId="13" xfId="2" applyNumberFormat="1" applyFont="1" applyFill="1" applyBorder="1" applyAlignment="1">
      <alignment horizontal="center" vertical="center" wrapText="1" readingOrder="1"/>
    </xf>
    <xf numFmtId="3" fontId="1" fillId="3" borderId="14" xfId="0" quotePrefix="1" applyNumberFormat="1" applyFont="1" applyFill="1" applyBorder="1" applyAlignment="1">
      <alignment vertical="center" wrapText="1" readingOrder="1"/>
    </xf>
    <xf numFmtId="0" fontId="1" fillId="3" borderId="4" xfId="0" quotePrefix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0" fontId="7" fillId="3" borderId="4" xfId="0" quotePrefix="1" applyFont="1" applyFill="1" applyBorder="1" applyAlignment="1">
      <alignment horizontal="center" vertical="center" wrapText="1" readingOrder="1"/>
    </xf>
    <xf numFmtId="0" fontId="7" fillId="3" borderId="5" xfId="0" quotePrefix="1" applyFont="1" applyFill="1" applyBorder="1" applyAlignment="1">
      <alignment horizontal="center" vertical="center" wrapText="1" readingOrder="1"/>
    </xf>
    <xf numFmtId="3" fontId="1" fillId="3" borderId="7" xfId="0" quotePrefix="1" applyNumberFormat="1" applyFont="1" applyFill="1" applyBorder="1" applyAlignment="1">
      <alignment horizontal="center" vertical="center" wrapText="1" readingOrder="1"/>
    </xf>
    <xf numFmtId="3" fontId="1" fillId="3" borderId="9" xfId="0" quotePrefix="1" applyNumberFormat="1" applyFont="1" applyFill="1" applyBorder="1" applyAlignment="1">
      <alignment horizontal="center" vertical="center" wrapText="1" readingOrder="1"/>
    </xf>
    <xf numFmtId="3" fontId="1" fillId="3" borderId="4" xfId="0" quotePrefix="1" applyNumberFormat="1" applyFont="1" applyFill="1" applyBorder="1" applyAlignment="1">
      <alignment horizontal="center" vertical="center" wrapText="1" readingOrder="1"/>
    </xf>
    <xf numFmtId="3" fontId="1" fillId="3" borderId="5" xfId="0" quotePrefix="1" applyNumberFormat="1" applyFont="1" applyFill="1" applyBorder="1" applyAlignment="1">
      <alignment horizontal="center" vertical="center" wrapTex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3" fontId="1" fillId="3" borderId="8" xfId="0" quotePrefix="1" applyNumberFormat="1" applyFont="1" applyFill="1" applyBorder="1" applyAlignment="1">
      <alignment horizontal="center" vertical="center" wrapText="1" readingOrder="1"/>
    </xf>
    <xf numFmtId="0" fontId="5" fillId="3" borderId="7" xfId="0" quotePrefix="1" applyFont="1" applyFill="1" applyBorder="1" applyAlignment="1">
      <alignment horizontal="center" vertical="center" wrapText="1" readingOrder="1"/>
    </xf>
    <xf numFmtId="0" fontId="5" fillId="3" borderId="8" xfId="0" quotePrefix="1" applyFont="1" applyFill="1" applyBorder="1" applyAlignment="1">
      <alignment horizontal="center" vertical="center" wrapText="1" readingOrder="1"/>
    </xf>
    <xf numFmtId="0" fontId="5" fillId="3" borderId="9" xfId="0" quotePrefix="1" applyFont="1" applyFill="1" applyBorder="1" applyAlignment="1">
      <alignment horizontal="center" vertical="center" wrapText="1" readingOrder="1"/>
    </xf>
    <xf numFmtId="0" fontId="1" fillId="3" borderId="10" xfId="0" quotePrefix="1" applyFont="1" applyFill="1" applyBorder="1" applyAlignment="1">
      <alignment horizontal="center" vertical="center" wrapText="1" readingOrder="1"/>
    </xf>
    <xf numFmtId="0" fontId="1" fillId="3" borderId="11" xfId="0" quotePrefix="1" applyFont="1" applyFill="1" applyBorder="1" applyAlignment="1">
      <alignment horizontal="center" vertical="center" wrapText="1" readingOrder="1"/>
    </xf>
    <xf numFmtId="0" fontId="1" fillId="3" borderId="12" xfId="0" quotePrefix="1" applyFont="1" applyFill="1" applyBorder="1" applyAlignment="1">
      <alignment horizontal="center" vertical="center" wrapText="1" readingOrder="1"/>
    </xf>
    <xf numFmtId="0" fontId="11" fillId="3" borderId="3" xfId="0" quotePrefix="1" applyFont="1" applyFill="1" applyBorder="1" applyAlignment="1">
      <alignment horizontal="center" vertical="center" wrapText="1" readingOrder="1"/>
    </xf>
    <xf numFmtId="1" fontId="11" fillId="3" borderId="3" xfId="0" quotePrefix="1" applyNumberFormat="1" applyFont="1" applyFill="1" applyBorder="1" applyAlignment="1">
      <alignment horizontal="center" vertical="center" wrapText="1" readingOrder="1"/>
    </xf>
    <xf numFmtId="0" fontId="11" fillId="3" borderId="3" xfId="0" quotePrefix="1" applyFont="1" applyFill="1" applyBorder="1" applyAlignment="1">
      <alignment horizontal="left" vertical="center" wrapText="1" readingOrder="1"/>
    </xf>
    <xf numFmtId="0" fontId="12" fillId="3" borderId="3" xfId="0" quotePrefix="1" applyFont="1" applyFill="1" applyBorder="1" applyAlignment="1">
      <alignment horizontal="center" vertical="center" wrapText="1" readingOrder="1"/>
    </xf>
    <xf numFmtId="166" fontId="11" fillId="3" borderId="3" xfId="0" quotePrefix="1" applyNumberFormat="1" applyFont="1" applyFill="1" applyBorder="1" applyAlignment="1">
      <alignment vertical="center" wrapText="1" readingOrder="1"/>
    </xf>
    <xf numFmtId="166" fontId="11" fillId="3" borderId="3" xfId="0" quotePrefix="1" applyNumberFormat="1" applyFont="1" applyFill="1" applyBorder="1" applyAlignment="1">
      <alignment horizontal="center" vertical="center" wrapText="1" readingOrder="1"/>
    </xf>
    <xf numFmtId="3" fontId="11" fillId="3" borderId="3" xfId="0" quotePrefix="1" applyNumberFormat="1" applyFont="1" applyFill="1" applyBorder="1" applyAlignment="1">
      <alignment horizontal="center" vertical="center" wrapText="1" readingOrder="1"/>
    </xf>
    <xf numFmtId="164" fontId="13" fillId="5" borderId="3" xfId="1" quotePrefix="1" applyNumberFormat="1" applyFont="1" applyBorder="1" applyAlignment="1">
      <alignment horizontal="center" vertical="center" wrapText="1" readingOrder="1"/>
    </xf>
    <xf numFmtId="166" fontId="14" fillId="3" borderId="3" xfId="0" quotePrefix="1" applyNumberFormat="1" applyFont="1" applyFill="1" applyBorder="1" applyAlignment="1">
      <alignment horizontal="center" vertical="center" wrapText="1" readingOrder="1"/>
    </xf>
    <xf numFmtId="165" fontId="13" fillId="5" borderId="3" xfId="1" quotePrefix="1" applyNumberFormat="1" applyFont="1" applyBorder="1" applyAlignment="1">
      <alignment horizontal="center" vertical="center" wrapText="1" readingOrder="1"/>
    </xf>
    <xf numFmtId="0" fontId="15" fillId="0" borderId="0" xfId="0" applyFont="1" applyAlignment="1">
      <alignment wrapText="1"/>
    </xf>
    <xf numFmtId="0" fontId="16" fillId="3" borderId="3" xfId="0" quotePrefix="1" applyFont="1" applyFill="1" applyBorder="1" applyAlignment="1">
      <alignment horizontal="center" vertical="center" wrapText="1" readingOrder="1"/>
    </xf>
  </cellXfs>
  <cellStyles count="3">
    <cellStyle name="Comma" xfId="2" builtinId="3"/>
    <cellStyle name="Good" xfId="1" builtinId="26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dimension ref="A1:Z32"/>
  <sheetViews>
    <sheetView tabSelected="1" zoomScale="130" zoomScaleNormal="130" workbookViewId="0">
      <selection activeCell="Q7" sqref="A1:Q7"/>
    </sheetView>
  </sheetViews>
  <sheetFormatPr defaultColWidth="9.109375" defaultRowHeight="14.4" x14ac:dyDescent="0.3"/>
  <cols>
    <col min="1" max="3" width="8.88671875" style="4"/>
    <col min="4" max="4" width="13.109375" style="4" customWidth="1"/>
    <col min="5" max="5" width="11.5546875" style="4" customWidth="1"/>
    <col min="6" max="6" width="11.109375" style="4" customWidth="1"/>
    <col min="7" max="7" width="20.6640625" style="4" customWidth="1"/>
    <col min="8" max="8" width="13.109375" style="4" customWidth="1"/>
    <col min="9" max="9" width="13.88671875" style="4" customWidth="1"/>
    <col min="10" max="10" width="14.44140625" style="4" customWidth="1"/>
    <col min="11" max="11" width="10.109375" style="4" customWidth="1"/>
    <col min="12" max="12" width="9.109375" style="4"/>
    <col min="13" max="13" width="12" style="4" customWidth="1"/>
    <col min="14" max="14" width="11.33203125" style="4" customWidth="1"/>
    <col min="15" max="15" width="31.88671875" style="4" customWidth="1"/>
    <col min="16" max="16" width="17.109375" style="4" customWidth="1"/>
    <col min="17" max="17" width="30.44140625" style="4" customWidth="1"/>
    <col min="18" max="18" width="12.44140625" style="4" customWidth="1"/>
    <col min="19" max="19" width="13.109375" style="4" customWidth="1"/>
    <col min="20" max="22" width="10.88671875" style="4" customWidth="1"/>
    <col min="23" max="23" width="12.109375" style="4" bestFit="1" customWidth="1"/>
    <col min="24" max="26" width="10.88671875" style="4" customWidth="1"/>
  </cols>
  <sheetData>
    <row r="1" spans="1:26" s="1" customFormat="1" ht="42.6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7" t="s">
        <v>17</v>
      </c>
      <c r="S1" s="7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7" t="s">
        <v>23</v>
      </c>
      <c r="Y1" s="7" t="s">
        <v>24</v>
      </c>
      <c r="Z1" s="7" t="s">
        <v>25</v>
      </c>
    </row>
    <row r="2" spans="1:26" s="1" customFormat="1" ht="103.2" customHeight="1" thickBot="1" x14ac:dyDescent="0.35">
      <c r="A2" s="6">
        <v>1</v>
      </c>
      <c r="B2" s="6" t="s">
        <v>80</v>
      </c>
      <c r="C2" s="6" t="s">
        <v>48</v>
      </c>
      <c r="D2" s="6" t="s">
        <v>81</v>
      </c>
      <c r="E2" s="6" t="s">
        <v>83</v>
      </c>
      <c r="F2" s="6" t="s">
        <v>84</v>
      </c>
      <c r="G2" s="13" t="s">
        <v>85</v>
      </c>
      <c r="H2" s="6" t="s">
        <v>86</v>
      </c>
      <c r="I2" s="6" t="s">
        <v>87</v>
      </c>
      <c r="J2" s="6" t="s">
        <v>88</v>
      </c>
      <c r="K2" s="6" t="s">
        <v>89</v>
      </c>
      <c r="L2" s="6" t="s">
        <v>26</v>
      </c>
      <c r="M2" s="6" t="s">
        <v>90</v>
      </c>
      <c r="N2" s="6" t="s">
        <v>91</v>
      </c>
      <c r="O2" s="11" t="s">
        <v>96</v>
      </c>
      <c r="P2" s="18"/>
      <c r="Q2" s="6"/>
      <c r="R2" s="19" t="s">
        <v>92</v>
      </c>
      <c r="S2" s="19" t="s">
        <v>92</v>
      </c>
      <c r="T2" s="9">
        <v>160083</v>
      </c>
      <c r="U2" s="9">
        <v>960500</v>
      </c>
      <c r="V2" s="5">
        <f>+T2*(0.18-0.18)</f>
        <v>0</v>
      </c>
      <c r="W2" s="5">
        <f>+U2*(0.18-0.18)</f>
        <v>0</v>
      </c>
      <c r="X2" s="20" t="s">
        <v>93</v>
      </c>
      <c r="Y2" s="20" t="s">
        <v>93</v>
      </c>
      <c r="Z2" s="17">
        <f>0</f>
        <v>0</v>
      </c>
    </row>
    <row r="3" spans="1:26" s="50" customFormat="1" ht="49.95" customHeight="1" thickBot="1" x14ac:dyDescent="0.35">
      <c r="A3" s="40">
        <v>2</v>
      </c>
      <c r="B3" s="40" t="s">
        <v>27</v>
      </c>
      <c r="C3" s="40" t="s">
        <v>68</v>
      </c>
      <c r="D3" s="40" t="s">
        <v>72</v>
      </c>
      <c r="E3" s="40" t="s">
        <v>36</v>
      </c>
      <c r="F3" s="40" t="s">
        <v>82</v>
      </c>
      <c r="G3" s="41">
        <v>110000034992</v>
      </c>
      <c r="H3" s="40" t="s">
        <v>69</v>
      </c>
      <c r="I3" s="40" t="s">
        <v>70</v>
      </c>
      <c r="J3" s="40" t="s">
        <v>73</v>
      </c>
      <c r="K3" s="40" t="s">
        <v>71</v>
      </c>
      <c r="L3" s="40" t="s">
        <v>26</v>
      </c>
      <c r="M3" s="40" t="s">
        <v>74</v>
      </c>
      <c r="N3" s="40" t="s">
        <v>75</v>
      </c>
      <c r="O3" s="42" t="s">
        <v>94</v>
      </c>
      <c r="P3" s="43"/>
      <c r="Q3" s="40"/>
      <c r="R3" s="44" t="s">
        <v>78</v>
      </c>
      <c r="S3" s="45" t="s">
        <v>79</v>
      </c>
      <c r="T3" s="46">
        <v>1068308</v>
      </c>
      <c r="U3" s="46">
        <v>9614770</v>
      </c>
      <c r="V3" s="47">
        <f>+T3*(0.16645-0.11464)</f>
        <v>55349.037479999977</v>
      </c>
      <c r="W3" s="47">
        <f>+U3*(0.16645-0.11464)</f>
        <v>498141.23369999981</v>
      </c>
      <c r="X3" s="48" t="s">
        <v>77</v>
      </c>
      <c r="Y3" s="48" t="s">
        <v>76</v>
      </c>
      <c r="Z3" s="49">
        <f>148136-109091</f>
        <v>39045</v>
      </c>
    </row>
    <row r="4" spans="1:26" s="1" customFormat="1" ht="49.95" customHeight="1" thickBot="1" x14ac:dyDescent="0.35">
      <c r="A4" s="6">
        <v>3</v>
      </c>
      <c r="B4" s="6" t="s">
        <v>27</v>
      </c>
      <c r="C4" s="6" t="s">
        <v>28</v>
      </c>
      <c r="D4" s="6" t="s">
        <v>52</v>
      </c>
      <c r="E4" s="9" t="s">
        <v>30</v>
      </c>
      <c r="F4" s="9" t="s">
        <v>33</v>
      </c>
      <c r="G4" s="13">
        <v>110000032253</v>
      </c>
      <c r="H4" s="6" t="s">
        <v>31</v>
      </c>
      <c r="I4" s="6" t="s">
        <v>32</v>
      </c>
      <c r="J4" s="6" t="s">
        <v>66</v>
      </c>
      <c r="K4" s="9" t="s">
        <v>29</v>
      </c>
      <c r="L4" s="9" t="s">
        <v>26</v>
      </c>
      <c r="M4" s="6" t="s">
        <v>53</v>
      </c>
      <c r="N4" s="6" t="s">
        <v>54</v>
      </c>
      <c r="O4" s="11" t="s">
        <v>95</v>
      </c>
      <c r="P4" s="12"/>
      <c r="Q4" s="9"/>
      <c r="R4" s="9" t="s">
        <v>55</v>
      </c>
      <c r="S4" s="6" t="s">
        <v>56</v>
      </c>
      <c r="T4" s="9">
        <v>1068308</v>
      </c>
      <c r="U4" s="9">
        <v>9614770</v>
      </c>
      <c r="V4" s="5">
        <f>(0.18936-0.1851)*T4</f>
        <v>4550.9920800000145</v>
      </c>
      <c r="W4" s="5">
        <f>(0.18936-0.1851)*U4</f>
        <v>40958.920200000131</v>
      </c>
      <c r="X4" s="9" t="s">
        <v>64</v>
      </c>
      <c r="Y4" s="6" t="s">
        <v>63</v>
      </c>
      <c r="Z4" s="17">
        <f>148636-145455</f>
        <v>3181</v>
      </c>
    </row>
    <row r="5" spans="1:26" s="1" customFormat="1" ht="49.95" customHeight="1" thickBot="1" x14ac:dyDescent="0.35">
      <c r="A5" s="6">
        <v>4</v>
      </c>
      <c r="B5" s="6" t="s">
        <v>27</v>
      </c>
      <c r="C5" s="6" t="s">
        <v>34</v>
      </c>
      <c r="D5" s="6" t="s">
        <v>35</v>
      </c>
      <c r="E5" s="6" t="s">
        <v>36</v>
      </c>
      <c r="F5" s="9" t="s">
        <v>37</v>
      </c>
      <c r="G5" s="9" t="s">
        <v>38</v>
      </c>
      <c r="H5" s="9" t="s">
        <v>39</v>
      </c>
      <c r="I5" s="9" t="s">
        <v>40</v>
      </c>
      <c r="J5" s="6" t="s">
        <v>65</v>
      </c>
      <c r="K5" s="9" t="s">
        <v>41</v>
      </c>
      <c r="L5" s="9" t="s">
        <v>26</v>
      </c>
      <c r="M5" s="6" t="s">
        <v>42</v>
      </c>
      <c r="N5" s="6" t="s">
        <v>43</v>
      </c>
      <c r="O5" s="11" t="s">
        <v>44</v>
      </c>
      <c r="P5" s="16" t="s">
        <v>108</v>
      </c>
      <c r="Q5" s="9" t="s">
        <v>45</v>
      </c>
      <c r="R5" s="9" t="s">
        <v>46</v>
      </c>
      <c r="S5" s="6" t="s">
        <v>47</v>
      </c>
      <c r="T5" s="9">
        <v>666396</v>
      </c>
      <c r="U5" s="9">
        <v>4664000</v>
      </c>
      <c r="V5" s="5">
        <f>(0.33-0.39)*T5</f>
        <v>-39983.760000000002</v>
      </c>
      <c r="W5" s="5">
        <f>(0.33-0.39)*U5</f>
        <v>-279840</v>
      </c>
      <c r="X5" s="9">
        <v>0</v>
      </c>
      <c r="Y5" s="6">
        <v>0</v>
      </c>
      <c r="Z5" s="10">
        <v>0</v>
      </c>
    </row>
    <row r="6" spans="1:26" s="50" customFormat="1" ht="49.95" customHeight="1" thickBot="1" x14ac:dyDescent="0.35">
      <c r="A6" s="40">
        <v>5</v>
      </c>
      <c r="B6" s="40" t="s">
        <v>27</v>
      </c>
      <c r="C6" s="40" t="s">
        <v>48</v>
      </c>
      <c r="D6" s="40" t="s">
        <v>35</v>
      </c>
      <c r="E6" s="40" t="s">
        <v>36</v>
      </c>
      <c r="F6" s="46" t="s">
        <v>37</v>
      </c>
      <c r="G6" s="40" t="s">
        <v>49</v>
      </c>
      <c r="H6" s="40" t="s">
        <v>39</v>
      </c>
      <c r="I6" s="40" t="s">
        <v>50</v>
      </c>
      <c r="J6" s="40" t="s">
        <v>67</v>
      </c>
      <c r="K6" s="46" t="s">
        <v>41</v>
      </c>
      <c r="L6" s="46" t="s">
        <v>51</v>
      </c>
      <c r="M6" s="40" t="s">
        <v>61</v>
      </c>
      <c r="N6" s="40" t="s">
        <v>60</v>
      </c>
      <c r="O6" s="42" t="s">
        <v>44</v>
      </c>
      <c r="P6" s="51"/>
      <c r="Q6" s="46"/>
      <c r="R6" s="46" t="s">
        <v>57</v>
      </c>
      <c r="S6" s="40" t="s">
        <v>58</v>
      </c>
      <c r="T6" s="46">
        <v>652500</v>
      </c>
      <c r="U6" s="46">
        <v>5220000</v>
      </c>
      <c r="V6" s="47">
        <f>(0.21-0.39)*T6</f>
        <v>-117450.00000000001</v>
      </c>
      <c r="W6" s="47">
        <f>(0.21-0.39)*U6</f>
        <v>-939600.00000000012</v>
      </c>
      <c r="X6" s="46" t="s">
        <v>59</v>
      </c>
      <c r="Y6" s="40" t="s">
        <v>62</v>
      </c>
      <c r="Z6" s="49">
        <f>151409-151818</f>
        <v>-409</v>
      </c>
    </row>
    <row r="7" spans="1:26" s="1" customFormat="1" ht="49.95" customHeight="1" thickBot="1" x14ac:dyDescent="0.35">
      <c r="A7" s="6">
        <v>6</v>
      </c>
      <c r="B7" s="21" t="s">
        <v>27</v>
      </c>
      <c r="C7" s="21" t="s">
        <v>48</v>
      </c>
      <c r="D7" s="21" t="s">
        <v>97</v>
      </c>
      <c r="E7" s="21" t="s">
        <v>98</v>
      </c>
      <c r="F7" s="21" t="s">
        <v>106</v>
      </c>
      <c r="G7" s="22">
        <v>110000034293</v>
      </c>
      <c r="H7" s="21" t="s">
        <v>107</v>
      </c>
      <c r="I7" s="21" t="s">
        <v>99</v>
      </c>
      <c r="J7" s="21" t="s">
        <v>100</v>
      </c>
      <c r="K7" s="21" t="s">
        <v>101</v>
      </c>
      <c r="L7" s="21" t="s">
        <v>51</v>
      </c>
      <c r="M7" s="21" t="s">
        <v>103</v>
      </c>
      <c r="N7" s="21" t="s">
        <v>102</v>
      </c>
      <c r="O7" s="21"/>
      <c r="P7" s="12"/>
      <c r="Q7" s="9"/>
      <c r="R7" s="21" t="s">
        <v>104</v>
      </c>
      <c r="S7" s="21" t="s">
        <v>105</v>
      </c>
      <c r="T7" s="9">
        <v>76125</v>
      </c>
      <c r="U7" s="9">
        <v>532875</v>
      </c>
      <c r="V7" s="5">
        <f>(1.51-1.52)*T7</f>
        <v>-761.25000000000068</v>
      </c>
      <c r="W7" s="5">
        <f>(1.51-1.52)*U7</f>
        <v>-5328.7500000000045</v>
      </c>
      <c r="X7" s="9">
        <v>0</v>
      </c>
      <c r="Y7" s="6">
        <v>0</v>
      </c>
      <c r="Z7" s="10">
        <v>0</v>
      </c>
    </row>
    <row r="8" spans="1:26" s="1" customFormat="1" ht="49.95" customHeight="1" thickBot="1" x14ac:dyDescent="0.35">
      <c r="A8" s="6"/>
      <c r="B8" s="6"/>
      <c r="C8" s="6"/>
      <c r="D8" s="6"/>
      <c r="E8" s="9"/>
      <c r="F8" s="9"/>
      <c r="G8" s="13"/>
      <c r="H8" s="6"/>
      <c r="I8" s="6"/>
      <c r="J8" s="6"/>
      <c r="K8" s="21"/>
      <c r="L8" s="21"/>
      <c r="M8" s="21"/>
      <c r="N8" s="21"/>
      <c r="O8" s="23"/>
      <c r="P8" s="12"/>
      <c r="Q8" s="9"/>
      <c r="R8" s="9"/>
      <c r="S8" s="9"/>
      <c r="T8" s="9"/>
      <c r="U8" s="9"/>
      <c r="V8" s="5">
        <f>(0.3258-0.3258)*T8</f>
        <v>0</v>
      </c>
      <c r="W8" s="5">
        <f>(0.3258-0.3258)*U8</f>
        <v>0</v>
      </c>
      <c r="X8" s="9">
        <v>0</v>
      </c>
      <c r="Y8" s="6">
        <v>0</v>
      </c>
      <c r="Z8" s="10">
        <v>0</v>
      </c>
    </row>
    <row r="9" spans="1:26" s="1" customFormat="1" ht="49.95" customHeight="1" thickBot="1" x14ac:dyDescent="0.35">
      <c r="A9" s="6"/>
      <c r="B9" s="6"/>
      <c r="C9" s="6"/>
      <c r="D9" s="6"/>
      <c r="E9" s="9"/>
      <c r="F9" s="9"/>
      <c r="G9" s="13"/>
      <c r="H9" s="6"/>
      <c r="I9" s="6"/>
      <c r="J9" s="6"/>
      <c r="K9" s="9"/>
      <c r="L9" s="9"/>
      <c r="M9" s="6"/>
      <c r="N9" s="6"/>
      <c r="O9" s="6"/>
      <c r="P9" s="12"/>
      <c r="Q9" s="9"/>
      <c r="R9" s="9"/>
      <c r="S9" s="6"/>
      <c r="T9" s="9"/>
      <c r="U9" s="9"/>
      <c r="V9" s="5">
        <f>+(0.618-0.667)*T9</f>
        <v>0</v>
      </c>
      <c r="W9" s="5">
        <f>+(0.618-0.667)*U9</f>
        <v>0</v>
      </c>
      <c r="X9" s="9">
        <v>0</v>
      </c>
      <c r="Y9" s="6">
        <v>0</v>
      </c>
      <c r="Z9" s="10">
        <v>0</v>
      </c>
    </row>
    <row r="10" spans="1:26" s="1" customFormat="1" ht="49.95" customHeight="1" thickBot="1" x14ac:dyDescent="0.35">
      <c r="A10" s="24"/>
      <c r="B10" s="6"/>
      <c r="C10" s="6"/>
      <c r="D10" s="6"/>
      <c r="E10" s="6"/>
      <c r="F10" s="9"/>
      <c r="G10" s="9"/>
      <c r="H10" s="9"/>
      <c r="I10" s="9"/>
      <c r="J10" s="6"/>
      <c r="K10" s="28"/>
      <c r="L10" s="30"/>
      <c r="M10" s="24"/>
      <c r="N10" s="24"/>
      <c r="O10" s="24"/>
      <c r="P10" s="26"/>
      <c r="Q10" s="9"/>
      <c r="R10" s="9"/>
      <c r="S10" s="9"/>
      <c r="T10" s="9"/>
      <c r="U10" s="9"/>
      <c r="V10" s="5">
        <f>(0.3794-0.39)*T10</f>
        <v>0</v>
      </c>
      <c r="W10" s="5">
        <f>(0.3794-0.39)*U10</f>
        <v>0</v>
      </c>
      <c r="X10" s="9">
        <v>0</v>
      </c>
      <c r="Y10" s="6">
        <v>0</v>
      </c>
      <c r="Z10" s="10">
        <v>0</v>
      </c>
    </row>
    <row r="11" spans="1:26" s="1" customFormat="1" ht="49.95" customHeight="1" thickBot="1" x14ac:dyDescent="0.35">
      <c r="A11" s="25"/>
      <c r="B11" s="6"/>
      <c r="C11" s="6"/>
      <c r="D11" s="6"/>
      <c r="E11" s="9"/>
      <c r="F11" s="9"/>
      <c r="G11" s="9"/>
      <c r="H11" s="6"/>
      <c r="I11" s="6"/>
      <c r="J11" s="6"/>
      <c r="K11" s="29"/>
      <c r="L11" s="31"/>
      <c r="M11" s="25"/>
      <c r="N11" s="25"/>
      <c r="O11" s="25"/>
      <c r="P11" s="27"/>
      <c r="Q11" s="9"/>
      <c r="R11" s="9"/>
      <c r="S11" s="6"/>
      <c r="T11" s="9"/>
      <c r="U11" s="9"/>
      <c r="V11" s="5">
        <f>(0.397-0.4)*T11</f>
        <v>0</v>
      </c>
      <c r="W11" s="5">
        <f>(0.397-0.4)*U11</f>
        <v>0</v>
      </c>
      <c r="X11" s="9">
        <v>0</v>
      </c>
      <c r="Y11" s="6">
        <v>0</v>
      </c>
      <c r="Z11" s="10">
        <v>0</v>
      </c>
    </row>
    <row r="12" spans="1:26" s="1" customFormat="1" ht="118.35" customHeight="1" thickBot="1" x14ac:dyDescent="0.35">
      <c r="A12" s="24"/>
      <c r="B12" s="6"/>
      <c r="C12" s="6"/>
      <c r="D12" s="6"/>
      <c r="E12" s="9"/>
      <c r="F12" s="9"/>
      <c r="G12" s="6"/>
      <c r="H12" s="6"/>
      <c r="I12" s="6"/>
      <c r="J12" s="6"/>
      <c r="K12" s="9"/>
      <c r="L12" s="28"/>
      <c r="M12" s="24"/>
      <c r="N12" s="24"/>
      <c r="O12" s="37"/>
      <c r="P12" s="34"/>
      <c r="Q12" s="9"/>
      <c r="R12" s="9"/>
      <c r="S12" s="6"/>
      <c r="T12" s="9"/>
      <c r="U12" s="9"/>
      <c r="V12" s="5"/>
      <c r="W12" s="5"/>
      <c r="X12" s="9"/>
      <c r="Y12" s="6"/>
      <c r="Z12" s="10"/>
    </row>
    <row r="13" spans="1:26" s="1" customFormat="1" ht="118.35" customHeight="1" thickBot="1" x14ac:dyDescent="0.35">
      <c r="A13" s="32"/>
      <c r="B13" s="6"/>
      <c r="C13" s="6"/>
      <c r="D13" s="6"/>
      <c r="E13" s="9"/>
      <c r="F13" s="9"/>
      <c r="G13" s="6"/>
      <c r="H13" s="6"/>
      <c r="I13" s="6"/>
      <c r="J13" s="6"/>
      <c r="K13" s="9"/>
      <c r="L13" s="33"/>
      <c r="M13" s="32"/>
      <c r="N13" s="32"/>
      <c r="O13" s="38"/>
      <c r="P13" s="35"/>
      <c r="Q13" s="9"/>
      <c r="R13" s="9"/>
      <c r="S13" s="9"/>
      <c r="T13" s="9"/>
      <c r="U13" s="9"/>
      <c r="V13" s="5"/>
      <c r="W13" s="5"/>
      <c r="X13" s="9"/>
      <c r="Y13" s="6"/>
      <c r="Z13" s="10"/>
    </row>
    <row r="14" spans="1:26" s="1" customFormat="1" ht="118.35" customHeight="1" thickBot="1" x14ac:dyDescent="0.35">
      <c r="A14" s="25"/>
      <c r="B14" s="6"/>
      <c r="C14" s="6"/>
      <c r="D14" s="6"/>
      <c r="E14" s="9"/>
      <c r="F14" s="9"/>
      <c r="G14" s="6"/>
      <c r="H14" s="6"/>
      <c r="I14" s="6"/>
      <c r="J14" s="6"/>
      <c r="K14" s="9"/>
      <c r="L14" s="29"/>
      <c r="M14" s="25"/>
      <c r="N14" s="25"/>
      <c r="O14" s="39"/>
      <c r="P14" s="36"/>
      <c r="Q14" s="9"/>
      <c r="R14" s="9"/>
      <c r="S14" s="9"/>
      <c r="T14" s="9"/>
      <c r="U14" s="9"/>
      <c r="V14" s="5"/>
      <c r="W14" s="5"/>
      <c r="X14" s="9"/>
      <c r="Y14" s="6"/>
      <c r="Z14" s="10"/>
    </row>
    <row r="15" spans="1:26" s="1" customFormat="1" ht="118.35" customHeight="1" thickBot="1" x14ac:dyDescent="0.35">
      <c r="A15" s="6"/>
      <c r="B15" s="6"/>
      <c r="C15" s="6"/>
      <c r="D15" s="6"/>
      <c r="E15" s="9"/>
      <c r="F15" s="9"/>
      <c r="G15" s="13"/>
      <c r="H15" s="6"/>
      <c r="I15" s="6"/>
      <c r="J15" s="6"/>
      <c r="K15" s="9"/>
      <c r="L15" s="9"/>
      <c r="M15" s="9"/>
      <c r="N15" s="9"/>
      <c r="O15" s="6"/>
      <c r="P15" s="15"/>
      <c r="Q15" s="9"/>
      <c r="R15" s="9"/>
      <c r="S15" s="6"/>
      <c r="T15" s="9"/>
      <c r="U15" s="9"/>
      <c r="V15" s="5"/>
      <c r="W15" s="5"/>
      <c r="X15" s="9"/>
      <c r="Y15" s="6"/>
      <c r="Z15" s="10"/>
    </row>
    <row r="16" spans="1:26" s="1" customFormat="1" ht="118.35" customHeight="1" thickBot="1" x14ac:dyDescent="0.35">
      <c r="A16" s="14"/>
      <c r="B16" s="6"/>
      <c r="C16" s="6"/>
      <c r="D16" s="6"/>
      <c r="E16" s="9"/>
      <c r="F16" s="9"/>
      <c r="G16" s="13"/>
      <c r="H16" s="6"/>
      <c r="I16" s="6"/>
      <c r="J16" s="6"/>
      <c r="K16" s="9"/>
      <c r="L16" s="9"/>
      <c r="M16" s="9"/>
      <c r="N16" s="9"/>
      <c r="O16" s="6"/>
      <c r="P16" s="15"/>
      <c r="Q16" s="9"/>
      <c r="R16" s="9"/>
      <c r="S16" s="6"/>
      <c r="T16" s="9"/>
      <c r="U16" s="9"/>
      <c r="V16" s="5"/>
      <c r="W16" s="5"/>
      <c r="X16" s="9"/>
      <c r="Y16" s="6"/>
      <c r="Z16" s="10"/>
    </row>
    <row r="17" spans="1:26" s="1" customFormat="1" ht="42.6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1" customFormat="1" ht="42.6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1" customFormat="1" ht="42.6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1" customFormat="1" ht="42.6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1" customFormat="1" ht="42.6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1" customFormat="1" ht="42.6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1" customFormat="1" ht="42.6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1" customFormat="1" ht="42.6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1" customFormat="1" ht="42.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s="1" customFormat="1" ht="42.6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s="1" customFormat="1" ht="42.6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s="1" customFormat="1" ht="42.6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s="1" customFormat="1" ht="42.6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s="1" customFormat="1" ht="42.6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s="1" customFormat="1" ht="42.6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s="1" customFormat="1" ht="42.6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</sheetData>
  <mergeCells count="13">
    <mergeCell ref="A12:A14"/>
    <mergeCell ref="L12:L14"/>
    <mergeCell ref="M12:M14"/>
    <mergeCell ref="N12:N14"/>
    <mergeCell ref="P12:P14"/>
    <mergeCell ref="O12:O14"/>
    <mergeCell ref="M10:M11"/>
    <mergeCell ref="N10:N11"/>
    <mergeCell ref="O10:O11"/>
    <mergeCell ref="P10:P11"/>
    <mergeCell ref="A10:A11"/>
    <mergeCell ref="K10:K11"/>
    <mergeCell ref="L10:L11"/>
  </mergeCells>
  <phoneticPr fontId="6" type="noConversion"/>
  <conditionalFormatting sqref="V1 V17:V1048576">
    <cfRule type="cellIs" dxfId="6" priority="100" operator="lessThan">
      <formula>0</formula>
    </cfRule>
  </conditionalFormatting>
  <conditionalFormatting sqref="V2:W16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X2:Y3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Z1:Z1048576">
    <cfRule type="cellIs" dxfId="1" priority="16" operator="lessThan">
      <formula>0</formula>
    </cfRule>
  </conditionalFormatting>
  <conditionalFormatting sqref="Z2:Z16">
    <cfRule type="cellIs" dxfId="0" priority="15" operator="greaterThan">
      <formula>0</formula>
    </cfRule>
  </conditionalFormatting>
  <pageMargins left="0.7" right="0.7" top="0.75" bottom="0.75" header="0.3" footer="0.3"/>
  <pageSetup orientation="portrait" r:id="rId1"/>
  <customProperties>
    <customPr name="_pios_id" r:id="rId2"/>
    <customPr name="Ibp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10" ma:contentTypeDescription="Ein neues Dokument erstellen." ma:contentTypeScope="" ma:versionID="728a42373757fe19dbf32cb01accea12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6d1219d07439347edf1a7dd06578600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d00205-0ffb-4bc2-b18e-b800942d8fea" xsi:nil="true"/>
    <lcf76f155ced4ddcb4097134ff3c332f xmlns="c58f02bd-e0b7-474b-a2bc-9a19f162f3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5DB5E5-1345-43FF-8515-950CB0CCE768}"/>
</file>

<file path=customXml/itemProps2.xml><?xml version="1.0" encoding="utf-8"?>
<ds:datastoreItem xmlns:ds="http://schemas.openxmlformats.org/officeDocument/2006/customXml" ds:itemID="{7038628F-62FE-4777-87BF-F5DEF4047212}"/>
</file>

<file path=customXml/itemProps3.xml><?xml version="1.0" encoding="utf-8"?>
<ds:datastoreItem xmlns:ds="http://schemas.openxmlformats.org/officeDocument/2006/customXml" ds:itemID="{1989E820-6F72-4F7A-9DF9-25B0D82413E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KW20, 2026</vt:lpstr>
    </vt:vector>
  </TitlesOfParts>
  <Manager/>
  <Company>RVNA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Xiangwei Chen ALF RPSBE1</dc:creator>
  <cp:keywords/>
  <dc:description/>
  <cp:lastModifiedBy>Xiangwei Chen ALF RPSBE1</cp:lastModifiedBy>
  <cp:revision/>
  <dcterms:created xsi:type="dcterms:W3CDTF">2025-09-02T13:26:50Z</dcterms:created>
  <dcterms:modified xsi:type="dcterms:W3CDTF">2026-05-13T08:25:42Z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IbpWorkbookKeyString_GUID">
    <vt:lpwstr>38fc2b40-ce9d-4aa7-a82c-e708adc4547a</vt:lpwstr>
  </property>
  <property fmtid="{D5CDD505-2E9C-101B-9397-08002B2CF9AE}" pid="10" name="ContentTypeId">
    <vt:lpwstr>0x010100D2AE94798D0E7D4487CB84FC9A87565D</vt:lpwstr>
  </property>
</Properties>
</file>