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22, 27.05.2026/"/>
    </mc:Choice>
  </mc:AlternateContent>
  <xr:revisionPtr revIDLastSave="0" documentId="8_{F3DE9A7C-654F-4943-8DD0-8F33FD91107D}" xr6:coauthVersionLast="47" xr6:coauthVersionMax="47" xr10:uidLastSave="{00000000-0000-0000-0000-000000000000}"/>
  <bookViews>
    <workbookView xWindow="28680" yWindow="-120" windowWidth="29040" windowHeight="15720" xr2:uid="{00000000-000D-0000-FFFF-FFFF00000000}"/>
  </bookViews>
  <sheets>
    <sheet name="KW18, 2026"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 i="4" l="1"/>
  <c r="V5" i="4"/>
  <c r="W5" i="4"/>
  <c r="Z2" i="4"/>
  <c r="Z4" i="4"/>
  <c r="W4" i="4"/>
  <c r="V4" i="4"/>
  <c r="Z3" i="4"/>
  <c r="W3" i="4"/>
  <c r="V3" i="4"/>
  <c r="W2" i="4"/>
  <c r="V2" i="4"/>
</calcChain>
</file>

<file path=xl/sharedStrings.xml><?xml version="1.0" encoding="utf-8"?>
<sst xmlns="http://schemas.openxmlformats.org/spreadsheetml/2006/main" count="90" uniqueCount="79">
  <si>
    <t>#</t>
  </si>
  <si>
    <t>Region</t>
  </si>
  <si>
    <t>Type</t>
  </si>
  <si>
    <t>Project/ Product</t>
  </si>
  <si>
    <t>Commodity</t>
  </si>
  <si>
    <t>Parent PF Code</t>
  </si>
  <si>
    <t>SWAT ID / Bundle ID</t>
  </si>
  <si>
    <t>Part Description</t>
  </si>
  <si>
    <t>PN</t>
  </si>
  <si>
    <t>Recommended Supplier (s)</t>
  </si>
  <si>
    <t>Presenter</t>
  </si>
  <si>
    <t>Decision Level</t>
  </si>
  <si>
    <t>Peak Year Spend</t>
  </si>
  <si>
    <t xml:space="preserve">LT Spend </t>
  </si>
  <si>
    <t>Comment</t>
  </si>
  <si>
    <t xml:space="preserve">Sourcing Decision </t>
  </si>
  <si>
    <t>Notes/Task/ Resp./ Due Date</t>
  </si>
  <si>
    <t>CQA PC PRICE</t>
  </si>
  <si>
    <t>Rec. Supplier Landed</t>
  </si>
  <si>
    <t>Average Volume</t>
  </si>
  <si>
    <t>LT volume</t>
  </si>
  <si>
    <t>Average Year Saving vs CQA</t>
  </si>
  <si>
    <t>LT saving</t>
  </si>
  <si>
    <t>CQA Tooling</t>
  </si>
  <si>
    <t xml:space="preserve">Rec. Supplier Tooling </t>
  </si>
  <si>
    <t>Tooling Saving vs CQA</t>
  </si>
  <si>
    <t>NA</t>
  </si>
  <si>
    <t>L3</t>
  </si>
  <si>
    <t>GCS</t>
  </si>
  <si>
    <t>CH01 Functional Plastics</t>
  </si>
  <si>
    <t>CH01016 Medium Precision</t>
  </si>
  <si>
    <t>COVER, RETR. SPRING-SIDE</t>
  </si>
  <si>
    <t>A027K012B</t>
  </si>
  <si>
    <t>Wilko Plastics, Inc.</t>
  </si>
  <si>
    <t>Alba Guerra</t>
  </si>
  <si>
    <t>SPR6.1
NCAR, R2, T1 SUV, T2 SUV</t>
  </si>
  <si>
    <t>181K Euro
199K USD</t>
  </si>
  <si>
    <t>1,27 Mio Euro
1,39 Mio USD</t>
  </si>
  <si>
    <t>0,132 Euro/pc
0,145 USD/pc</t>
  </si>
  <si>
    <t>0,115 Euro/pc
0,127 USD/pc</t>
  </si>
  <si>
    <t>AP</t>
  </si>
  <si>
    <t>B/2025/00284
110000033348</t>
  </si>
  <si>
    <t>FF01018
Special Micro</t>
  </si>
  <si>
    <t>34138928AZX</t>
  </si>
  <si>
    <t>B/2025/00284
110000033349</t>
  </si>
  <si>
    <t>SPR8 &amp; FS1</t>
  </si>
  <si>
    <t>SPR4.1 &amp; ESA4.0</t>
  </si>
  <si>
    <t>33058306BZX</t>
  </si>
  <si>
    <t>Yuhuan Zhenxuan</t>
  </si>
  <si>
    <t>Yajun Zhao</t>
  </si>
  <si>
    <t>L4</t>
  </si>
  <si>
    <t>63K Euro
500K RMB</t>
  </si>
  <si>
    <t>316K Euro
2,5Mio RMB</t>
  </si>
  <si>
    <t>0,013 Euro/pc
0,105 RMB/pc</t>
  </si>
  <si>
    <t>0,011 Euro/pc
0,087 RMB/pc</t>
  </si>
  <si>
    <t>71K Euro
557K RMB</t>
  </si>
  <si>
    <t>259K Euro
2,1Mio RMB</t>
  </si>
  <si>
    <t>0,0142 Euro/pc
0,112 RMB/pc</t>
  </si>
  <si>
    <t>0,0177 Euro/pc
0,14 RMB/pc</t>
  </si>
  <si>
    <t>Offline Approved</t>
  </si>
  <si>
    <t>1. AP VAVE CCB2 approval for Zhenxuan.
2. Lead project: Mercedes Benz MRA2 project, planned SOP 01.03.2027.</t>
  </si>
  <si>
    <t>Sensor Axle</t>
  </si>
  <si>
    <t>114545 Euro
126000 USD</t>
  </si>
  <si>
    <t>125682 Euro
138250 USD</t>
  </si>
  <si>
    <t>SPR8 SLL</t>
  </si>
  <si>
    <t>34228227C</t>
  </si>
  <si>
    <t>Torsion Bar 8.5mm</t>
  </si>
  <si>
    <t>Lisi Shanghai</t>
  </si>
  <si>
    <t>110000032851</t>
  </si>
  <si>
    <t>FF01
Forging Forming</t>
  </si>
  <si>
    <t>FF01017
Special Gear</t>
  </si>
  <si>
    <t>96K Euro
761K RMB</t>
  </si>
  <si>
    <t>636K Euro
5Mio RMB</t>
  </si>
  <si>
    <t>0,291 Euro/pc
 2,3 RMB/pc</t>
  </si>
  <si>
    <t>0,259 Euro/pc
2,046 RMB/pc</t>
  </si>
  <si>
    <t>1. LISI Shanghai accept tool cost amortize to 5 years volume by 1,474,432 pcs.
2. Ford T6 as lead project for VAVE, milestone as below:
OTS - 10.Jul.2026
PV - 15.Oct.2026
ZFLT PPAP - 30.Oct.2026
ZFLT SOP - 13.Nov.2026
3. Approved by Family 8.</t>
  </si>
  <si>
    <t>1. Current Supplier: ZF Alfdorf. Localization strategy in NA requested by the Local team          Approval for the UMSCA scenario provided by the local program team + the executive management team
2. No customer funding of the tooling</t>
  </si>
  <si>
    <t>To be followed up</t>
  </si>
  <si>
    <t xml:space="preserve">
1. USMCA localization target to be filled in as CQA, instead of current supplier price-- PP Dawid
this single PN needs to meet USMCA localization target, or case can be approved in case overall USMCA localization target can be achived with multiple PNs
2. To double check RM, previous quoted RM vs current PIR listed RM: delta impact 0,03 Euro/pc --PP Dawid with Family 6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</si>
</sst>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 [$€-407];\-#,##0\ [$€-407]"/>
    <numFmt numFmtId="165" formatCode="#,##0\ &quot;€&quot;"/>
  </numFmts>
  <fonts count="9" x14ac:knownFonts="1">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b/>
      <sz val="8"/>
      <color rgb="FF00B050"/>
      <name val="Arial"/>
      <family val="2"/>
    </font>
    <font>
      <b/>
      <sz val="8"/>
      <color theme="5"/>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5">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medium">
        <color rgb="FFFFFFFF"/>
      </left>
      <right style="medium">
        <color theme="0"/>
      </right>
      <top style="medium">
        <color theme="0"/>
      </top>
      <bottom/>
      <diagonal/>
    </border>
    <border>
      <left style="medium">
        <color rgb="FFFFFFFF"/>
      </left>
      <right style="medium">
        <color theme="0"/>
      </right>
      <top/>
      <bottom/>
      <diagonal/>
    </border>
    <border>
      <left style="medium">
        <color rgb="FFFFFFFF"/>
      </left>
      <right style="medium">
        <color theme="0"/>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diagonal/>
    </border>
    <border>
      <left style="medium">
        <color theme="0"/>
      </left>
      <right style="medium">
        <color rgb="FFFFFFFF"/>
      </right>
      <top/>
      <bottom style="medium">
        <color theme="0"/>
      </bottom>
      <diagonal/>
    </border>
    <border>
      <left style="medium">
        <color rgb="FFFFFFFF"/>
      </left>
      <right style="medium">
        <color rgb="FFFFFFFF"/>
      </right>
      <top style="medium">
        <color theme="0"/>
      </top>
      <bottom/>
      <diagonal/>
    </border>
    <border>
      <left style="medium">
        <color rgb="FFFFFFFF"/>
      </left>
      <right style="medium">
        <color rgb="FFFFFFFF"/>
      </right>
      <top/>
      <bottom style="medium">
        <color theme="0"/>
      </bottom>
      <diagonal/>
    </border>
  </borders>
  <cellStyleXfs count="2">
    <xf numFmtId="0" fontId="0" fillId="0" borderId="0"/>
    <xf numFmtId="0" fontId="3" fillId="5" borderId="0" applyNumberFormat="0" applyBorder="0" applyAlignment="0" applyProtection="0"/>
  </cellStyleXfs>
  <cellXfs count="43">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4"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4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1" fontId="1" fillId="3" borderId="3" xfId="0" quotePrefix="1" applyNumberFormat="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5" fillId="3" borderId="7" xfId="0" quotePrefix="1" applyFont="1" applyFill="1" applyBorder="1" applyAlignment="1">
      <alignment vertical="center" wrapText="1" readingOrder="1"/>
    </xf>
    <xf numFmtId="0" fontId="7" fillId="3" borderId="3" xfId="0" quotePrefix="1" applyFont="1" applyFill="1" applyBorder="1" applyAlignment="1">
      <alignment horizontal="center" vertical="center" wrapText="1" readingOrder="1"/>
    </xf>
    <xf numFmtId="165" fontId="1" fillId="3" borderId="3" xfId="0" quotePrefix="1" applyNumberFormat="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1" fillId="3" borderId="4" xfId="0" quotePrefix="1"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0" fontId="7" fillId="3" borderId="4" xfId="0" quotePrefix="1" applyFont="1" applyFill="1" applyBorder="1" applyAlignment="1">
      <alignment horizontal="center" vertical="center" wrapText="1" readingOrder="1"/>
    </xf>
    <xf numFmtId="0" fontId="7" fillId="3" borderId="5" xfId="0" quotePrefix="1" applyFont="1" applyFill="1" applyBorder="1" applyAlignment="1">
      <alignment horizontal="center" vertical="center" wrapText="1" readingOrder="1"/>
    </xf>
    <xf numFmtId="3" fontId="1" fillId="3" borderId="7" xfId="0" quotePrefix="1" applyNumberFormat="1" applyFont="1" applyFill="1" applyBorder="1" applyAlignment="1">
      <alignment horizontal="center" vertical="center" wrapText="1" readingOrder="1"/>
    </xf>
    <xf numFmtId="3" fontId="1" fillId="3" borderId="9" xfId="0" quotePrefix="1" applyNumberFormat="1" applyFont="1" applyFill="1" applyBorder="1" applyAlignment="1">
      <alignment horizontal="center" vertical="center" wrapText="1" readingOrder="1"/>
    </xf>
    <xf numFmtId="3" fontId="1" fillId="3" borderId="4" xfId="0" quotePrefix="1" applyNumberFormat="1" applyFont="1" applyFill="1" applyBorder="1" applyAlignment="1">
      <alignment horizontal="center" vertical="center" wrapText="1" readingOrder="1"/>
    </xf>
    <xf numFmtId="3" fontId="1" fillId="3" borderId="5" xfId="0" quotePrefix="1" applyNumberFormat="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3" fontId="1" fillId="3" borderId="8" xfId="0" quotePrefix="1" applyNumberFormat="1" applyFont="1" applyFill="1" applyBorder="1" applyAlignment="1">
      <alignment horizontal="center" vertical="center" wrapText="1" readingOrder="1"/>
    </xf>
    <xf numFmtId="0" fontId="5" fillId="3" borderId="7" xfId="0" quotePrefix="1" applyFont="1" applyFill="1" applyBorder="1" applyAlignment="1">
      <alignment horizontal="center" vertical="center" wrapText="1" readingOrder="1"/>
    </xf>
    <xf numFmtId="0" fontId="5" fillId="3" borderId="8" xfId="0" quotePrefix="1" applyFont="1" applyFill="1" applyBorder="1" applyAlignment="1">
      <alignment horizontal="center" vertical="center" wrapText="1" readingOrder="1"/>
    </xf>
    <xf numFmtId="0" fontId="5" fillId="3" borderId="9" xfId="0" quotePrefix="1" applyFont="1" applyFill="1" applyBorder="1" applyAlignment="1">
      <alignment horizontal="center" vertical="center" wrapText="1" readingOrder="1"/>
    </xf>
    <xf numFmtId="0" fontId="1" fillId="3" borderId="10" xfId="0" quotePrefix="1" applyFont="1" applyFill="1" applyBorder="1" applyAlignment="1">
      <alignment horizontal="center" vertical="center" wrapText="1" readingOrder="1"/>
    </xf>
    <xf numFmtId="0" fontId="1" fillId="3" borderId="11" xfId="0" quotePrefix="1" applyFont="1" applyFill="1" applyBorder="1" applyAlignment="1">
      <alignment horizontal="center" vertical="center" wrapText="1" readingOrder="1"/>
    </xf>
    <xf numFmtId="0" fontId="1" fillId="3" borderId="12" xfId="0" quotePrefix="1" applyFont="1" applyFill="1" applyBorder="1" applyAlignment="1">
      <alignment horizontal="center" vertical="center" wrapText="1" readingOrder="1"/>
    </xf>
    <xf numFmtId="0" fontId="7" fillId="3" borderId="7" xfId="0" quotePrefix="1" applyFont="1" applyFill="1" applyBorder="1" applyAlignment="1">
      <alignment horizontal="center" vertical="center" wrapText="1" readingOrder="1"/>
    </xf>
    <xf numFmtId="0" fontId="7" fillId="3" borderId="9" xfId="0" quotePrefix="1" applyFont="1" applyFill="1" applyBorder="1" applyAlignment="1">
      <alignment horizontal="center" vertical="center" wrapText="1" readingOrder="1"/>
    </xf>
    <xf numFmtId="0" fontId="1" fillId="3" borderId="13" xfId="0" quotePrefix="1" applyFont="1" applyFill="1" applyBorder="1" applyAlignment="1">
      <alignment horizontal="left" vertical="center" wrapText="1" readingOrder="1"/>
    </xf>
    <xf numFmtId="0" fontId="1" fillId="3" borderId="14" xfId="0" quotePrefix="1" applyFont="1" applyFill="1" applyBorder="1" applyAlignment="1">
      <alignment horizontal="left" vertical="center" wrapText="1" readingOrder="1"/>
    </xf>
    <xf numFmtId="0" fontId="1" fillId="3" borderId="5" xfId="0" quotePrefix="1" applyFont="1" applyFill="1" applyBorder="1" applyAlignment="1">
      <alignment vertical="center" wrapText="1" readingOrder="1"/>
    </xf>
    <xf numFmtId="0" fontId="7" fillId="3" borderId="9" xfId="0" quotePrefix="1" applyFont="1" applyFill="1" applyBorder="1" applyAlignment="1">
      <alignment vertical="center" wrapText="1" readingOrder="1"/>
    </xf>
    <xf numFmtId="0" fontId="8" fillId="3" borderId="3" xfId="0" quotePrefix="1" applyFont="1" applyFill="1" applyBorder="1" applyAlignment="1">
      <alignment horizontal="center" vertical="center" wrapText="1" readingOrder="1"/>
    </xf>
  </cellXfs>
  <cellStyles count="2">
    <cellStyle name="Good" xfId="1" builtinId="26"/>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30"/>
  <sheetViews>
    <sheetView tabSelected="1" topLeftCell="J1" zoomScale="130" zoomScaleNormal="130" workbookViewId="0">
      <selection sqref="A1:W5"/>
    </sheetView>
  </sheetViews>
  <sheetFormatPr defaultColWidth="9.109375" defaultRowHeight="14.4" x14ac:dyDescent="0.3"/>
  <cols>
    <col min="1" max="3" width="8.88671875" style="4"/>
    <col min="4" max="4" width="13.109375" style="4" customWidth="1"/>
    <col min="5" max="5" width="11.5546875" style="4" customWidth="1"/>
    <col min="6" max="6" width="11.109375" style="4" customWidth="1"/>
    <col min="7" max="7" width="20.6640625" style="4" customWidth="1"/>
    <col min="8" max="8" width="13.109375" style="4" customWidth="1"/>
    <col min="9" max="9" width="13.88671875" style="4" customWidth="1"/>
    <col min="10" max="10" width="14.44140625" style="4" customWidth="1"/>
    <col min="11" max="11" width="10.109375" style="4" customWidth="1"/>
    <col min="12" max="12" width="9.109375" style="4"/>
    <col min="13" max="13" width="12" style="4" customWidth="1"/>
    <col min="14" max="14" width="11.33203125" style="4" customWidth="1"/>
    <col min="15" max="15" width="23.109375" style="4" customWidth="1"/>
    <col min="16" max="16" width="17.109375" style="4" customWidth="1"/>
    <col min="17" max="17" width="30.44140625" style="4" customWidth="1"/>
    <col min="18" max="18" width="12.44140625" style="4" customWidth="1"/>
    <col min="19" max="19" width="13.109375" style="4" customWidth="1"/>
    <col min="20" max="21" width="10.88671875" style="4" customWidth="1"/>
    <col min="22" max="22" width="11.5546875" style="4" bestFit="1" customWidth="1"/>
    <col min="23" max="23" width="12.109375" style="4" bestFit="1" customWidth="1"/>
    <col min="24" max="26" width="10.88671875" style="4" customWidth="1"/>
  </cols>
  <sheetData>
    <row r="1" spans="1:26" s="1" customFormat="1" ht="42.6" customHeight="1"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7" t="s">
        <v>17</v>
      </c>
      <c r="S1" s="7" t="s">
        <v>18</v>
      </c>
      <c r="T1" s="8" t="s">
        <v>19</v>
      </c>
      <c r="U1" s="8" t="s">
        <v>20</v>
      </c>
      <c r="V1" s="8" t="s">
        <v>21</v>
      </c>
      <c r="W1" s="8" t="s">
        <v>22</v>
      </c>
      <c r="X1" s="7" t="s">
        <v>23</v>
      </c>
      <c r="Y1" s="7" t="s">
        <v>24</v>
      </c>
      <c r="Z1" s="7" t="s">
        <v>25</v>
      </c>
    </row>
    <row r="2" spans="1:26" s="1" customFormat="1" ht="138.6" customHeight="1" thickBot="1" x14ac:dyDescent="0.35">
      <c r="A2" s="6">
        <v>1</v>
      </c>
      <c r="B2" s="6" t="s">
        <v>26</v>
      </c>
      <c r="C2" s="6" t="s">
        <v>28</v>
      </c>
      <c r="D2" s="6" t="s">
        <v>35</v>
      </c>
      <c r="E2" s="9" t="s">
        <v>29</v>
      </c>
      <c r="F2" s="9" t="s">
        <v>30</v>
      </c>
      <c r="G2" s="13">
        <v>110000034993</v>
      </c>
      <c r="H2" s="6" t="s">
        <v>31</v>
      </c>
      <c r="I2" s="6" t="s">
        <v>32</v>
      </c>
      <c r="J2" s="6" t="s">
        <v>33</v>
      </c>
      <c r="K2" s="9" t="s">
        <v>34</v>
      </c>
      <c r="L2" s="9" t="s">
        <v>27</v>
      </c>
      <c r="M2" s="6" t="s">
        <v>36</v>
      </c>
      <c r="N2" s="6" t="s">
        <v>37</v>
      </c>
      <c r="O2" s="12" t="s">
        <v>76</v>
      </c>
      <c r="P2" s="42" t="s">
        <v>77</v>
      </c>
      <c r="Q2" s="11" t="s">
        <v>78</v>
      </c>
      <c r="R2" s="9" t="s">
        <v>39</v>
      </c>
      <c r="S2" s="6" t="s">
        <v>38</v>
      </c>
      <c r="T2" s="9">
        <v>1068308</v>
      </c>
      <c r="U2" s="9">
        <v>9614770</v>
      </c>
      <c r="V2" s="5">
        <f>(0.132-0.115)*T2</f>
        <v>18161.236000000001</v>
      </c>
      <c r="W2" s="5">
        <f>(0.132-0.115)*U2</f>
        <v>163451.09000000003</v>
      </c>
      <c r="X2" s="17" t="s">
        <v>62</v>
      </c>
      <c r="Y2" s="17" t="s">
        <v>63</v>
      </c>
      <c r="Z2" s="10">
        <f>125682-114545</f>
        <v>11137</v>
      </c>
    </row>
    <row r="3" spans="1:26" s="1" customFormat="1" ht="49.95" customHeight="1" thickBot="1" x14ac:dyDescent="0.35">
      <c r="A3" s="18">
        <v>2</v>
      </c>
      <c r="B3" s="18" t="s">
        <v>40</v>
      </c>
      <c r="C3" s="18" t="s">
        <v>28</v>
      </c>
      <c r="D3" s="6" t="s">
        <v>45</v>
      </c>
      <c r="E3" s="9" t="s">
        <v>69</v>
      </c>
      <c r="F3" s="9" t="s">
        <v>42</v>
      </c>
      <c r="G3" s="13" t="s">
        <v>41</v>
      </c>
      <c r="H3" s="6" t="s">
        <v>61</v>
      </c>
      <c r="I3" s="6" t="s">
        <v>43</v>
      </c>
      <c r="J3" s="6" t="s">
        <v>48</v>
      </c>
      <c r="K3" s="24" t="s">
        <v>49</v>
      </c>
      <c r="L3" s="26" t="s">
        <v>50</v>
      </c>
      <c r="M3" s="6" t="s">
        <v>51</v>
      </c>
      <c r="N3" s="6" t="s">
        <v>52</v>
      </c>
      <c r="O3" s="38" t="s">
        <v>60</v>
      </c>
      <c r="P3" s="36" t="s">
        <v>59</v>
      </c>
      <c r="Q3" s="11"/>
      <c r="R3" s="9" t="s">
        <v>53</v>
      </c>
      <c r="S3" s="9" t="s">
        <v>54</v>
      </c>
      <c r="T3" s="9">
        <v>3587542</v>
      </c>
      <c r="U3" s="9">
        <v>28700336</v>
      </c>
      <c r="V3" s="5">
        <f>(0.011-0.013)*T3</f>
        <v>-7175.0839999999998</v>
      </c>
      <c r="W3" s="5">
        <f>(0.011-0.013)*U3</f>
        <v>-57400.671999999999</v>
      </c>
      <c r="X3" s="17">
        <v>0</v>
      </c>
      <c r="Y3" s="17">
        <v>0</v>
      </c>
      <c r="Z3" s="10">
        <f t="shared" ref="Z3" si="0">Y3-X3</f>
        <v>0</v>
      </c>
    </row>
    <row r="4" spans="1:26" s="1" customFormat="1" ht="49.95" customHeight="1" thickBot="1" x14ac:dyDescent="0.35">
      <c r="A4" s="19"/>
      <c r="B4" s="19"/>
      <c r="C4" s="19"/>
      <c r="D4" s="6" t="s">
        <v>46</v>
      </c>
      <c r="E4" s="9" t="s">
        <v>69</v>
      </c>
      <c r="F4" s="9" t="s">
        <v>42</v>
      </c>
      <c r="G4" s="9" t="s">
        <v>44</v>
      </c>
      <c r="H4" s="6" t="s">
        <v>61</v>
      </c>
      <c r="I4" s="9" t="s">
        <v>47</v>
      </c>
      <c r="J4" s="6" t="s">
        <v>48</v>
      </c>
      <c r="K4" s="25"/>
      <c r="L4" s="27"/>
      <c r="M4" s="6" t="s">
        <v>55</v>
      </c>
      <c r="N4" s="6" t="s">
        <v>56</v>
      </c>
      <c r="O4" s="39"/>
      <c r="P4" s="37"/>
      <c r="Q4" s="11"/>
      <c r="R4" s="9" t="s">
        <v>58</v>
      </c>
      <c r="S4" s="6" t="s">
        <v>57</v>
      </c>
      <c r="T4" s="9">
        <v>2282819</v>
      </c>
      <c r="U4" s="9">
        <v>18262555</v>
      </c>
      <c r="V4" s="5">
        <f>(0.0142-0.0177)*T4</f>
        <v>-7989.8664999999992</v>
      </c>
      <c r="W4" s="5">
        <f>(0.0142-0.0177)*U4</f>
        <v>-63918.94249999999</v>
      </c>
      <c r="X4" s="17">
        <v>0</v>
      </c>
      <c r="Y4" s="17">
        <v>0</v>
      </c>
      <c r="Z4" s="10">
        <f t="shared" ref="Z4" si="1">Y4-X4</f>
        <v>0</v>
      </c>
    </row>
    <row r="5" spans="1:26" s="1" customFormat="1" ht="111" customHeight="1" thickBot="1" x14ac:dyDescent="0.35">
      <c r="A5" s="6">
        <v>3</v>
      </c>
      <c r="B5" s="6" t="s">
        <v>40</v>
      </c>
      <c r="C5" s="6" t="s">
        <v>28</v>
      </c>
      <c r="D5" s="6" t="s">
        <v>64</v>
      </c>
      <c r="E5" s="9" t="s">
        <v>69</v>
      </c>
      <c r="F5" s="9" t="s">
        <v>70</v>
      </c>
      <c r="G5" s="13" t="s">
        <v>68</v>
      </c>
      <c r="H5" s="6" t="s">
        <v>66</v>
      </c>
      <c r="I5" s="6" t="s">
        <v>65</v>
      </c>
      <c r="J5" s="6" t="s">
        <v>67</v>
      </c>
      <c r="K5" s="6" t="s">
        <v>49</v>
      </c>
      <c r="L5" s="6" t="s">
        <v>50</v>
      </c>
      <c r="M5" s="6" t="s">
        <v>71</v>
      </c>
      <c r="N5" s="6" t="s">
        <v>72</v>
      </c>
      <c r="O5" s="11" t="s">
        <v>75</v>
      </c>
      <c r="P5" s="16" t="s">
        <v>59</v>
      </c>
      <c r="Q5" s="13"/>
      <c r="R5" s="9" t="s">
        <v>73</v>
      </c>
      <c r="S5" s="9" t="s">
        <v>74</v>
      </c>
      <c r="T5" s="9">
        <v>272914</v>
      </c>
      <c r="U5" s="9">
        <v>2456225</v>
      </c>
      <c r="V5" s="5">
        <f>(0.259-0.291)*T5</f>
        <v>-8733.2479999999923</v>
      </c>
      <c r="W5" s="5">
        <f>(0.259-0.291)*U5</f>
        <v>-78599.199999999939</v>
      </c>
      <c r="X5" s="17">
        <v>0</v>
      </c>
      <c r="Y5" s="17">
        <v>0</v>
      </c>
      <c r="Z5" s="10">
        <f t="shared" ref="Z5" si="2">Y5-X5</f>
        <v>0</v>
      </c>
    </row>
    <row r="6" spans="1:26" s="1" customFormat="1" ht="49.95" customHeight="1" thickBot="1" x14ac:dyDescent="0.35">
      <c r="A6" s="40"/>
      <c r="B6" s="6"/>
      <c r="C6" s="6"/>
      <c r="D6" s="6"/>
      <c r="E6" s="9"/>
      <c r="F6" s="9"/>
      <c r="G6" s="13"/>
      <c r="H6" s="6"/>
      <c r="I6" s="6"/>
      <c r="J6" s="6"/>
      <c r="K6" s="40"/>
      <c r="L6" s="6"/>
      <c r="M6" s="6"/>
      <c r="N6" s="6"/>
      <c r="O6" s="9"/>
      <c r="P6" s="41"/>
      <c r="Q6" s="13"/>
      <c r="R6" s="11"/>
      <c r="S6" s="11"/>
      <c r="T6" s="9"/>
      <c r="U6" s="9"/>
      <c r="V6" s="5"/>
      <c r="W6" s="5"/>
      <c r="X6" s="9"/>
      <c r="Y6" s="6"/>
      <c r="Z6" s="10"/>
    </row>
    <row r="7" spans="1:26" s="1" customFormat="1" ht="75.599999999999994" customHeight="1" thickBot="1" x14ac:dyDescent="0.35">
      <c r="A7" s="6"/>
      <c r="B7" s="6"/>
      <c r="C7" s="6"/>
      <c r="D7" s="6"/>
      <c r="E7" s="9"/>
      <c r="F7" s="9"/>
      <c r="G7" s="13"/>
      <c r="H7" s="6"/>
      <c r="I7" s="6"/>
      <c r="J7" s="6"/>
      <c r="K7" s="9"/>
      <c r="L7" s="9"/>
      <c r="M7" s="6"/>
      <c r="N7" s="6"/>
      <c r="O7" s="12"/>
      <c r="P7" s="16"/>
      <c r="Q7" s="11"/>
      <c r="R7" s="9"/>
      <c r="S7" s="6"/>
      <c r="T7" s="9"/>
      <c r="U7" s="9"/>
      <c r="V7" s="5"/>
      <c r="W7" s="5"/>
      <c r="X7" s="9"/>
      <c r="Y7" s="6"/>
      <c r="Z7" s="10"/>
    </row>
    <row r="8" spans="1:26" s="1" customFormat="1" ht="49.95" customHeight="1" thickBot="1" x14ac:dyDescent="0.35">
      <c r="A8" s="18"/>
      <c r="B8" s="6"/>
      <c r="C8" s="6"/>
      <c r="D8" s="6"/>
      <c r="E8" s="6"/>
      <c r="F8" s="9"/>
      <c r="G8" s="9"/>
      <c r="H8" s="9"/>
      <c r="I8" s="9"/>
      <c r="J8" s="6"/>
      <c r="K8" s="24"/>
      <c r="L8" s="26"/>
      <c r="M8" s="18"/>
      <c r="N8" s="18"/>
      <c r="O8" s="20"/>
      <c r="P8" s="22"/>
      <c r="Q8" s="11"/>
      <c r="R8" s="9"/>
      <c r="S8" s="9"/>
      <c r="T8" s="9"/>
      <c r="U8" s="9"/>
      <c r="V8" s="5"/>
      <c r="W8" s="5"/>
      <c r="X8" s="9"/>
      <c r="Y8" s="6"/>
      <c r="Z8" s="10"/>
    </row>
    <row r="9" spans="1:26" s="1" customFormat="1" ht="49.95" customHeight="1" thickBot="1" x14ac:dyDescent="0.35">
      <c r="A9" s="19"/>
      <c r="B9" s="6"/>
      <c r="C9" s="6"/>
      <c r="D9" s="6"/>
      <c r="E9" s="9"/>
      <c r="F9" s="9"/>
      <c r="G9" s="9"/>
      <c r="H9" s="6"/>
      <c r="I9" s="6"/>
      <c r="J9" s="6"/>
      <c r="K9" s="25"/>
      <c r="L9" s="27"/>
      <c r="M9" s="19"/>
      <c r="N9" s="19"/>
      <c r="O9" s="21"/>
      <c r="P9" s="23"/>
      <c r="Q9" s="11"/>
      <c r="R9" s="9"/>
      <c r="S9" s="6"/>
      <c r="T9" s="9"/>
      <c r="U9" s="9"/>
      <c r="V9" s="5"/>
      <c r="W9" s="5"/>
      <c r="X9" s="9"/>
      <c r="Y9" s="6"/>
      <c r="Z9" s="10"/>
    </row>
    <row r="10" spans="1:26" s="1" customFormat="1" ht="118.35" customHeight="1" thickBot="1" x14ac:dyDescent="0.35">
      <c r="A10" s="18"/>
      <c r="B10" s="6"/>
      <c r="C10" s="6"/>
      <c r="D10" s="6"/>
      <c r="E10" s="9"/>
      <c r="F10" s="9"/>
      <c r="G10" s="6"/>
      <c r="H10" s="6"/>
      <c r="I10" s="6"/>
      <c r="J10" s="6"/>
      <c r="K10" s="9"/>
      <c r="L10" s="24"/>
      <c r="M10" s="18"/>
      <c r="N10" s="18"/>
      <c r="O10" s="33"/>
      <c r="P10" s="30"/>
      <c r="Q10" s="11"/>
      <c r="R10" s="9"/>
      <c r="S10" s="6"/>
      <c r="T10" s="9"/>
      <c r="U10" s="9"/>
      <c r="V10" s="5"/>
      <c r="W10" s="5"/>
      <c r="X10" s="9"/>
      <c r="Y10" s="6"/>
      <c r="Z10" s="10"/>
    </row>
    <row r="11" spans="1:26" s="1" customFormat="1" ht="118.35" customHeight="1" thickBot="1" x14ac:dyDescent="0.35">
      <c r="A11" s="28"/>
      <c r="B11" s="6"/>
      <c r="C11" s="6"/>
      <c r="D11" s="6"/>
      <c r="E11" s="9"/>
      <c r="F11" s="9"/>
      <c r="G11" s="6"/>
      <c r="H11" s="6"/>
      <c r="I11" s="6"/>
      <c r="J11" s="6"/>
      <c r="K11" s="9"/>
      <c r="L11" s="29"/>
      <c r="M11" s="28"/>
      <c r="N11" s="28"/>
      <c r="O11" s="34"/>
      <c r="P11" s="31"/>
      <c r="Q11" s="11"/>
      <c r="R11" s="9"/>
      <c r="S11" s="9"/>
      <c r="T11" s="9"/>
      <c r="U11" s="9"/>
      <c r="V11" s="5"/>
      <c r="W11" s="5"/>
      <c r="X11" s="9"/>
      <c r="Y11" s="6"/>
      <c r="Z11" s="10"/>
    </row>
    <row r="12" spans="1:26" s="1" customFormat="1" ht="118.35" customHeight="1" thickBot="1" x14ac:dyDescent="0.35">
      <c r="A12" s="19"/>
      <c r="B12" s="6"/>
      <c r="C12" s="6"/>
      <c r="D12" s="6"/>
      <c r="E12" s="9"/>
      <c r="F12" s="9"/>
      <c r="G12" s="6"/>
      <c r="H12" s="6"/>
      <c r="I12" s="6"/>
      <c r="J12" s="6"/>
      <c r="K12" s="9"/>
      <c r="L12" s="25"/>
      <c r="M12" s="19"/>
      <c r="N12" s="19"/>
      <c r="O12" s="35"/>
      <c r="P12" s="32"/>
      <c r="Q12" s="11"/>
      <c r="R12" s="9"/>
      <c r="S12" s="9"/>
      <c r="T12" s="9"/>
      <c r="U12" s="9"/>
      <c r="V12" s="5"/>
      <c r="W12" s="5"/>
      <c r="X12" s="9"/>
      <c r="Y12" s="6"/>
      <c r="Z12" s="10"/>
    </row>
    <row r="13" spans="1:26" s="1" customFormat="1" ht="118.35" customHeight="1" thickBot="1" x14ac:dyDescent="0.35">
      <c r="A13" s="6"/>
      <c r="B13" s="6"/>
      <c r="C13" s="6"/>
      <c r="D13" s="6"/>
      <c r="E13" s="9"/>
      <c r="F13" s="9"/>
      <c r="G13" s="13"/>
      <c r="H13" s="6"/>
      <c r="I13" s="6"/>
      <c r="J13" s="6"/>
      <c r="K13" s="9"/>
      <c r="L13" s="9"/>
      <c r="M13" s="9"/>
      <c r="N13" s="9"/>
      <c r="O13" s="6"/>
      <c r="P13" s="15"/>
      <c r="Q13" s="11"/>
      <c r="R13" s="9"/>
      <c r="S13" s="6"/>
      <c r="T13" s="9"/>
      <c r="U13" s="9"/>
      <c r="V13" s="5"/>
      <c r="W13" s="5"/>
      <c r="X13" s="9"/>
      <c r="Y13" s="6"/>
      <c r="Z13" s="10"/>
    </row>
    <row r="14" spans="1:26" s="1" customFormat="1" ht="118.35" customHeight="1" thickBot="1" x14ac:dyDescent="0.35">
      <c r="A14" s="14"/>
      <c r="B14" s="6"/>
      <c r="C14" s="6"/>
      <c r="D14" s="6"/>
      <c r="E14" s="9"/>
      <c r="F14" s="9"/>
      <c r="G14" s="13"/>
      <c r="H14" s="6"/>
      <c r="I14" s="6"/>
      <c r="J14" s="6"/>
      <c r="K14" s="9"/>
      <c r="L14" s="9"/>
      <c r="M14" s="9"/>
      <c r="N14" s="9"/>
      <c r="O14" s="6"/>
      <c r="P14" s="15"/>
      <c r="Q14" s="11"/>
      <c r="R14" s="9"/>
      <c r="S14" s="6"/>
      <c r="T14" s="9"/>
      <c r="U14" s="9"/>
      <c r="V14" s="5"/>
      <c r="W14" s="5"/>
      <c r="X14" s="9"/>
      <c r="Y14" s="6"/>
      <c r="Z14" s="10"/>
    </row>
    <row r="15" spans="1:26" s="1" customFormat="1" ht="42.6"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1" customFormat="1" ht="42.6"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1" customFormat="1" ht="4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1" customFormat="1" ht="42.6"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1" customFormat="1" ht="42.6"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s="1" customFormat="1" ht="42.6"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s="1" customFormat="1" ht="42.6"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sheetData>
  <mergeCells count="20">
    <mergeCell ref="L3:L4"/>
    <mergeCell ref="P3:P4"/>
    <mergeCell ref="O3:O4"/>
    <mergeCell ref="A3:A4"/>
    <mergeCell ref="B3:B4"/>
    <mergeCell ref="C3:C4"/>
    <mergeCell ref="K3:K4"/>
    <mergeCell ref="A10:A12"/>
    <mergeCell ref="L10:L12"/>
    <mergeCell ref="M10:M12"/>
    <mergeCell ref="N10:N12"/>
    <mergeCell ref="P10:P12"/>
    <mergeCell ref="O10:O12"/>
    <mergeCell ref="A8:A9"/>
    <mergeCell ref="K8:K9"/>
    <mergeCell ref="L8:L9"/>
    <mergeCell ref="M8:M9"/>
    <mergeCell ref="N8:N9"/>
    <mergeCell ref="O8:O9"/>
    <mergeCell ref="P8:P9"/>
  </mergeCells>
  <phoneticPr fontId="6" type="noConversion"/>
  <conditionalFormatting sqref="V1 V15:V1048576 Z1:Z1048576">
    <cfRule type="cellIs" dxfId="3" priority="84" operator="lessThan">
      <formula>0</formula>
    </cfRule>
  </conditionalFormatting>
  <conditionalFormatting sqref="V2:W14">
    <cfRule type="cellIs" dxfId="2" priority="1" operator="greaterThan">
      <formula>0</formula>
    </cfRule>
    <cfRule type="cellIs" dxfId="1" priority="2" operator="lessThan">
      <formula>0</formula>
    </cfRule>
  </conditionalFormatting>
  <conditionalFormatting sqref="Z2:Z14">
    <cfRule type="cellIs" dxfId="0" priority="3"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694005-76A6-4A35-BEA5-42D1A7944EB5}"/>
</file>

<file path=customXml/itemProps2.xml><?xml version="1.0" encoding="utf-8"?>
<ds:datastoreItem xmlns:ds="http://schemas.openxmlformats.org/officeDocument/2006/customXml" ds:itemID="{A41B5567-FC39-4F6E-9632-EEA4627EFA6D}"/>
</file>

<file path=customXml/itemProps3.xml><?xml version="1.0" encoding="utf-8"?>
<ds:datastoreItem xmlns:ds="http://schemas.openxmlformats.org/officeDocument/2006/customXml" ds:itemID="{EFFFA089-E798-471F-A0EF-A42488CAEAE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KW18, 2026</vt:lpstr>
    </vt:vector>
  </TitlesOfParts>
  <Manager/>
  <Company>RVNA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Xiangwei Chen ALF RPSBE1</dc:creator>
  <cp:keywords/>
  <dc:description/>
  <cp:lastModifiedBy>Xiangwei Chen ALF RPSBE1</cp:lastModifiedBy>
  <cp:revision/>
  <dcterms:created xsi:type="dcterms:W3CDTF">2025-09-02T13:26:50Z</dcterms:created>
  <dcterms:modified xsi:type="dcterms:W3CDTF">2026-05-27T11:34:19Z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539918b0-24e8-420d-818b-b388a25763c4</vt:lpwstr>
  </property>
  <property fmtid="{D5CDD505-2E9C-101B-9397-08002B2CF9AE}" pid="10" name="ContentTypeId">
    <vt:lpwstr>0x010100D2AE94798D0E7D4487CB84FC9A87565D</vt:lpwstr>
  </property>
</Properties>
</file>