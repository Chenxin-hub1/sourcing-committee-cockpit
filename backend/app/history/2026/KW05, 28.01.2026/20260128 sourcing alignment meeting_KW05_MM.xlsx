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05, 28.01.2026/"/>
    </mc:Choice>
  </mc:AlternateContent>
  <xr:revisionPtr revIDLastSave="4" documentId="8_{425C34F8-EE1A-4F68-825E-57ECD9D15048}" xr6:coauthVersionLast="47" xr6:coauthVersionMax="47" xr10:uidLastSave="{CFDED585-2EFD-45AA-B089-16A89FEA35BB}"/>
  <bookViews>
    <workbookView xWindow="-120" yWindow="-120" windowWidth="29040" windowHeight="15720" xr2:uid="{00000000-000D-0000-FFFF-FFFF00000000}"/>
  </bookViews>
  <sheets>
    <sheet name="KW05, 2026" sheetId="4" r:id="rId1"/>
  </sheet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0" i="4" l="1"/>
  <c r="W10" i="4"/>
  <c r="V10" i="4"/>
  <c r="Z9" i="4"/>
  <c r="Z8" i="4"/>
  <c r="W9" i="4"/>
  <c r="V9" i="4"/>
  <c r="W8" i="4"/>
  <c r="V8" i="4"/>
  <c r="U10" i="4"/>
  <c r="T10" i="4"/>
  <c r="Z7" i="4"/>
  <c r="W7" i="4"/>
  <c r="V7" i="4"/>
  <c r="Z3" i="4"/>
  <c r="W3" i="4"/>
  <c r="V3" i="4"/>
  <c r="Z2" i="4"/>
  <c r="W2" i="4"/>
  <c r="V2" i="4"/>
  <c r="R4" i="4"/>
  <c r="V4" i="4" s="1"/>
  <c r="Z4" i="4"/>
  <c r="U6" i="4"/>
  <c r="T6" i="4"/>
  <c r="Z5" i="4"/>
  <c r="Z6" i="4"/>
  <c r="S5" i="4"/>
  <c r="R5" i="4"/>
  <c r="W4" i="4" l="1"/>
  <c r="W5" i="4"/>
  <c r="V5" i="4"/>
  <c r="W6" i="4"/>
  <c r="V6" i="4"/>
</calcChain>
</file>

<file path=xl/sharedStrings.xml><?xml version="1.0" encoding="utf-8"?>
<sst xmlns="http://schemas.openxmlformats.org/spreadsheetml/2006/main" count="146" uniqueCount="119">
  <si>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</si>
  <si>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</si>
  <si>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</si>
  <si>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</si>
  <si>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</si>
  <si>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</si>
  <si>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</si>
  <si>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</si>
  <si>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</si>
  <si>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</si>
  <si>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</si>
  <si>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</si>
  <si>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</si>
  <si>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</si>
  <si>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</si>
  <si>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</si>
  <si>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</si>
  <si>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</si>
  <si>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</si>
  <si>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</si>
  <si>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</si>
  <si>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</si>
  <si>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</si>
  <si>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</si>
  <si>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</si>
  <si>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L2</t>
  </si>
  <si>
    <t>EU</t>
  </si>
  <si>
    <t>GCS</t>
  </si>
  <si>
    <t>SEVERAL</t>
  </si>
  <si>
    <t>Functional Plastics</t>
  </si>
  <si>
    <t>Gear Wheel</t>
  </si>
  <si>
    <t>110000033219 / B/2025/00270</t>
  </si>
  <si>
    <t>110000033220 / B/2025/00270</t>
  </si>
  <si>
    <t>110000033221 / B/2025/00270</t>
  </si>
  <si>
    <t>34260137A</t>
  </si>
  <si>
    <t>34291072A</t>
  </si>
  <si>
    <t>34290511A</t>
  </si>
  <si>
    <t>Deutgen</t>
  </si>
  <si>
    <t>Alberto Martinez</t>
  </si>
  <si>
    <t>918K EUR</t>
  </si>
  <si>
    <t>191K EUR</t>
  </si>
  <si>
    <t>550K EUR</t>
  </si>
  <si>
    <t>Comment</t>
  </si>
  <si>
    <t>AP</t>
  </si>
  <si>
    <t>New</t>
  </si>
  <si>
    <t>CH01020
Plastic gear wheels</t>
  </si>
  <si>
    <t>R003R385A</t>
  </si>
  <si>
    <t xml:space="preserve">HALL SWITCH WIRE ASSY </t>
  </si>
  <si>
    <t>EA03004
Wireharness Assemblies</t>
  </si>
  <si>
    <t>Electric Mechanicals</t>
  </si>
  <si>
    <t>Lucid</t>
  </si>
  <si>
    <t>Taikang Electronics CO.,LTD</t>
  </si>
  <si>
    <t>Elaine Wu</t>
  </si>
  <si>
    <t>L3</t>
  </si>
  <si>
    <t>148K Euro
1,2Mio RMB</t>
  </si>
  <si>
    <t>CO</t>
  </si>
  <si>
    <t>BMW G4X</t>
  </si>
  <si>
    <t>RNS5s Hall Switch</t>
  </si>
  <si>
    <t>R003K825A</t>
  </si>
  <si>
    <t>ODW</t>
  </si>
  <si>
    <t>Cesar Espinoza</t>
  </si>
  <si>
    <t>0,95 Euro/pc
7,5 RMB/pc</t>
  </si>
  <si>
    <t>0,83 Euro/pc
6,57 RMB/pc</t>
  </si>
  <si>
    <t>110000033272</t>
  </si>
  <si>
    <t>906K EUR</t>
  </si>
  <si>
    <t>979 K Euro
7,7 Mio RMB</t>
  </si>
  <si>
    <t>3,9 M EUR</t>
  </si>
  <si>
    <t>0,9 M EUR</t>
  </si>
  <si>
    <t>2,4 M EUR</t>
  </si>
  <si>
    <t>5,0 M EUR</t>
  </si>
  <si>
    <t>110000032556</t>
  </si>
  <si>
    <t>EA03011
Buckle Switches</t>
  </si>
  <si>
    <t>CH01023
Structural Parts
Molded Inserts Tongues</t>
  </si>
  <si>
    <t>NA</t>
  </si>
  <si>
    <t>T1XX-2 SUV</t>
  </si>
  <si>
    <t>Tongue</t>
  </si>
  <si>
    <t>34139303B</t>
  </si>
  <si>
    <t>Mario Lopez</t>
  </si>
  <si>
    <t>1,2 Mio Euro
1,3 Mio USD</t>
  </si>
  <si>
    <t>167K EUR
184K USD</t>
  </si>
  <si>
    <t>0,2506 Euro/pc
0,2757 USD/pc</t>
  </si>
  <si>
    <t>L4</t>
  </si>
  <si>
    <t>CO GCS</t>
  </si>
  <si>
    <t>110000034040 / B/2025/00362</t>
  </si>
  <si>
    <t>110000034034 / B/2025/00362</t>
  </si>
  <si>
    <t>110000034031 / B/2025/00362</t>
  </si>
  <si>
    <t>SPRING</t>
  </si>
  <si>
    <t>34247662A</t>
  </si>
  <si>
    <t>Dongguan Eastern Rainbow Precision Metal</t>
  </si>
  <si>
    <t>Mihael Baldi</t>
  </si>
  <si>
    <t>1,3K EUR</t>
  </si>
  <si>
    <t>8,2K EUR</t>
  </si>
  <si>
    <t>0,0114 Euro/pc
0,09 RMB/pc</t>
  </si>
  <si>
    <t>0,0082 Euro/pc
0,065 RMB/pc</t>
  </si>
  <si>
    <t>SC03003
Compression Springs</t>
  </si>
  <si>
    <t xml:space="preserve">MB V530
ACR8 </t>
  </si>
  <si>
    <t>Wire-Form., Tubes, Bearings &amp; Filtration</t>
  </si>
  <si>
    <t>34189006B</t>
  </si>
  <si>
    <t>1,4K EUR</t>
  </si>
  <si>
    <t>8,5K EUR</t>
  </si>
  <si>
    <t>0,0152 Euro/pc
0,12 RMB/pc</t>
  </si>
  <si>
    <t>0,0086 Euro/pc
0,068 RMB/pc</t>
  </si>
  <si>
    <t>34230842C</t>
  </si>
  <si>
    <t>Approved</t>
  </si>
  <si>
    <t>1. To include the competitor offers (ODW, Filec) in the SDS-- CM Elaine.</t>
  </si>
  <si>
    <t>To shift from Filec A023M390C to ODW R003K825A to release Filec capa for Hall Switches, to release BMW backlog escalations.</t>
  </si>
  <si>
    <t>1. To source another RNS5 Hall Switch Line Q1 2026 to work out a solution for Capa 2027 onwards. -- Buckle Switch PFS Team, Q1 2026</t>
  </si>
  <si>
    <t>1. GCS from Werner Bauser GmbH to Deutgen DE, family 8. 
Bauser has only those 3 PNs in delivery. Tooling reached end of lifetime, new tools anyhow needed.
2. Tooling to be paid via amortization, 1.5 years, 75% of the forecasted volume, 6% interest rate. MPC available.
3. Validation cost to be covered by VAVE budget &amp; approved already.
4. CCB2 approved. Topic aligned with Fam8 Lead/buyer upfront (Christian/Alicia).</t>
  </si>
  <si>
    <t>1. To follow up with Deutgen for consigment discussion. -- CM Alberto.</t>
  </si>
  <si>
    <t>Maple Valley, US</t>
  </si>
  <si>
    <t>1. To get Midland quotation as reference. -- CM Mario&amp; PP Mario.</t>
  </si>
  <si>
    <t xml:space="preserve">1. Midland for stamping, Maple Vally for overmolding.
2. BPG Available, based on MX cost.
3. Tool available at Maple Vally. No investment capex available for new tooling. No investment capex available for new tooling.
4. Midland checked, mentioned no capa. </t>
  </si>
  <si>
    <t>1,6K EUR</t>
  </si>
  <si>
    <t>10K EUR</t>
  </si>
  <si>
    <t>0,0342 Euro/pc
0,27 RMB/pc</t>
  </si>
  <si>
    <t>0,0101 Euro/pc
0,08 RMB/pc</t>
  </si>
  <si>
    <t>aligned offline with Family team and AP team.</t>
  </si>
  <si>
    <t>1. No line amortization for Lucid project, due to low volume.
2. Low amount of testing cost to be paid via sample cost.
3. Taikang capa checked, family team aware, aligned.</t>
  </si>
  <si>
    <r>
      <t xml:space="preserve">Approved </t>
    </r>
    <r>
      <rPr>
        <sz val="8"/>
        <color theme="1"/>
        <rFont val="Arial"/>
        <family val="2"/>
      </rPr>
      <t>offline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</si>
</sst>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_([$€-2]\ * \(#,##0.00\);_([$€-2]\ * &quot;-&quot;??_);_(@_)"/>
    <numFmt numFmtId="165" formatCode="_([$€-2]\ * #,##0_);_([$€-2]\ * \(#,##0\);_([$€-2]\ * &quot;-&quot;??_);_(@_)"/>
  </numFmts>
  <fonts count="6" x14ac:knownFonts="1">
    <font>
      <sz val="11"/>
      <color theme="1"/>
      <name val="Calibri"/>
      <family val="2"/>
      <scheme val="minor"/>
    </font>
    <font>
      <sz val="8"/>
      <color rgb="FF000000"/>
      <name val="Arial"/>
      <family val="2"/>
    </font>
    <font>
      <b/>
      <sz val="8"/>
      <color rgb="FFFFFFFF"/>
      <name val="Arial"/>
      <family val="2"/>
    </font>
    <font>
      <sz val="8"/>
      <color rgb="FFFF0000"/>
      <name val="Arial"/>
      <family val="2"/>
    </font>
    <font>
      <b/>
      <sz val="8"/>
      <color rgb="FF00B050"/>
      <name val="Arial"/>
      <family val="2"/>
    </font>
    <font>
      <sz val="8"/>
      <color theme="1"/>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F6CECC"/>
        <bgColor rgb="FF000000"/>
      </patternFill>
    </fill>
  </fills>
  <borders count="16">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rgb="FFFFFFFF"/>
      </left>
      <right style="medium">
        <color theme="0"/>
      </right>
      <top style="medium">
        <color theme="0"/>
      </top>
      <bottom/>
      <diagonal/>
    </border>
    <border>
      <left style="medium">
        <color rgb="FFFFFFFF"/>
      </left>
      <right style="medium">
        <color theme="0"/>
      </right>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style="medium">
        <color theme="0"/>
      </bottom>
      <diagonal/>
    </border>
    <border>
      <left style="medium">
        <color theme="0"/>
      </left>
      <right style="medium">
        <color rgb="FFFFFFFF"/>
      </right>
      <top/>
      <bottom/>
      <diagonal/>
    </border>
    <border>
      <left style="medium">
        <color rgb="FFFFFFFF"/>
      </left>
      <right style="medium">
        <color theme="0"/>
      </right>
      <top/>
      <bottom/>
      <diagonal/>
    </border>
    <border>
      <left style="medium">
        <color theme="0"/>
      </left>
      <right style="medium">
        <color theme="0"/>
      </right>
      <top/>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theme="0"/>
      </right>
      <top style="medium">
        <color rgb="FFFFFFFF"/>
      </top>
      <bottom/>
      <diagonal/>
    </border>
  </borders>
  <cellStyleXfs count="1">
    <xf numFmtId="0" fontId="0" fillId="0" borderId="0"/>
  </cellStyleXfs>
  <cellXfs count="56">
    <xf numFmtId="0" fontId="0" fillId="0" borderId="0" xfId="0"/>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0" fontId="2" fillId="4" borderId="1" xfId="0" applyFont="1" applyFill="1" applyBorder="1" applyAlignment="1">
      <alignment horizontal="left" vertical="center" wrapText="1" readingOrder="1"/>
    </xf>
    <xf numFmtId="0" fontId="2" fillId="4" borderId="2" xfId="0" applyFont="1" applyFill="1" applyBorder="1" applyAlignment="1">
      <alignment horizontal="left" vertical="center" wrapText="1" readingOrder="1"/>
    </xf>
    <xf numFmtId="1" fontId="1" fillId="3" borderId="3" xfId="0" quotePrefix="1" applyNumberFormat="1" applyFont="1" applyFill="1" applyBorder="1" applyAlignment="1">
      <alignment horizontal="left" vertical="center" wrapText="1" readingOrder="1"/>
    </xf>
    <xf numFmtId="164" fontId="3"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center" vertical="center" wrapText="1" readingOrder="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3" fontId="1" fillId="3" borderId="3" xfId="0" quotePrefix="1" applyNumberFormat="1" applyFont="1" applyFill="1" applyBorder="1" applyAlignment="1">
      <alignment horizontal="right" vertical="center" wrapText="1" readingOrder="1"/>
    </xf>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164" fontId="1" fillId="3" borderId="3" xfId="0" quotePrefix="1" applyNumberFormat="1" applyFont="1" applyFill="1" applyBorder="1" applyAlignment="1">
      <alignment horizontal="left" vertical="center" wrapText="1" readingOrder="1"/>
    </xf>
    <xf numFmtId="164" fontId="3"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center" vertical="center" wrapText="1" readingOrder="1"/>
    </xf>
    <xf numFmtId="3" fontId="1" fillId="3" borderId="3" xfId="0" quotePrefix="1" applyNumberFormat="1" applyFont="1" applyFill="1" applyBorder="1" applyAlignment="1">
      <alignment horizontal="right" vertical="center" wrapText="1" readingOrder="1"/>
    </xf>
    <xf numFmtId="0" fontId="1" fillId="5" borderId="13" xfId="0" applyFont="1" applyFill="1" applyBorder="1" applyAlignment="1">
      <alignment horizontal="center" vertical="center" wrapText="1" readingOrder="1"/>
    </xf>
    <xf numFmtId="0" fontId="1" fillId="5" borderId="13" xfId="0" applyFont="1" applyFill="1" applyBorder="1" applyAlignment="1">
      <alignment horizontal="left" vertical="center" wrapText="1" readingOrder="1"/>
    </xf>
    <xf numFmtId="3" fontId="1" fillId="5" borderId="13" xfId="0" applyNumberFormat="1" applyFont="1" applyFill="1" applyBorder="1" applyAlignment="1">
      <alignment horizontal="right" vertical="center" wrapText="1" readingOrder="1"/>
    </xf>
    <xf numFmtId="0" fontId="1" fillId="5" borderId="13" xfId="0" quotePrefix="1" applyFont="1" applyFill="1" applyBorder="1" applyAlignment="1">
      <alignment horizontal="left" vertical="center" wrapText="1" readingOrder="1"/>
    </xf>
    <xf numFmtId="165" fontId="3" fillId="3" borderId="3" xfId="0" quotePrefix="1" applyNumberFormat="1" applyFont="1" applyFill="1" applyBorder="1" applyAlignment="1">
      <alignment horizontal="left" vertical="center" wrapText="1" readingOrder="1"/>
    </xf>
    <xf numFmtId="0" fontId="1" fillId="3" borderId="14" xfId="0" applyFont="1" applyFill="1" applyBorder="1" applyAlignment="1">
      <alignment horizontal="center" vertical="center" wrapText="1"/>
    </xf>
    <xf numFmtId="0" fontId="1" fillId="3" borderId="14" xfId="0" applyFont="1" applyFill="1" applyBorder="1" applyAlignment="1">
      <alignment vertical="center" wrapText="1"/>
    </xf>
    <xf numFmtId="0" fontId="2" fillId="2" borderId="1" xfId="0" applyFont="1" applyFill="1" applyBorder="1" applyAlignment="1">
      <alignment horizontal="left" vertical="center" wrapText="1" readingOrder="1"/>
    </xf>
    <xf numFmtId="0" fontId="0" fillId="0" borderId="0" xfId="0" applyAlignment="1">
      <alignment horizontal="left" wrapText="1"/>
    </xf>
    <xf numFmtId="0" fontId="0" fillId="0" borderId="0" xfId="0" applyAlignment="1">
      <alignment horizontal="left"/>
    </xf>
    <xf numFmtId="0" fontId="1" fillId="3" borderId="3" xfId="0" quotePrefix="1" applyFont="1" applyFill="1" applyBorder="1" applyAlignment="1">
      <alignment vertical="center" wrapText="1" readingOrder="1"/>
    </xf>
    <xf numFmtId="0" fontId="1" fillId="5" borderId="13" xfId="0" applyFont="1" applyFill="1" applyBorder="1" applyAlignment="1">
      <alignment vertical="center" wrapText="1" readingOrder="1"/>
    </xf>
    <xf numFmtId="0" fontId="0" fillId="0" borderId="0" xfId="0" applyAlignment="1"/>
    <xf numFmtId="164" fontId="1" fillId="3" borderId="3" xfId="0" quotePrefix="1" applyNumberFormat="1" applyFont="1" applyFill="1" applyBorder="1" applyAlignment="1">
      <alignment vertical="center" wrapText="1" readingOrder="1"/>
    </xf>
    <xf numFmtId="0" fontId="4" fillId="3" borderId="3"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12" xfId="0" quotePrefix="1" applyFont="1" applyFill="1" applyBorder="1" applyAlignment="1">
      <alignment horizontal="center" vertical="center" wrapText="1" readingOrder="1"/>
    </xf>
    <xf numFmtId="0" fontId="1" fillId="3" borderId="7" xfId="0" quotePrefix="1" applyFont="1" applyFill="1" applyBorder="1" applyAlignment="1">
      <alignment horizontal="center" vertical="center" wrapText="1" readingOrder="1"/>
    </xf>
    <xf numFmtId="0" fontId="1" fillId="3" borderId="4" xfId="0" quotePrefix="1" applyFont="1" applyFill="1" applyBorder="1" applyAlignment="1">
      <alignment vertical="center" wrapText="1" readingOrder="1"/>
    </xf>
    <xf numFmtId="0" fontId="1" fillId="3" borderId="11" xfId="0" quotePrefix="1" applyFont="1" applyFill="1" applyBorder="1" applyAlignment="1">
      <alignment vertical="center" wrapText="1" readingOrder="1"/>
    </xf>
    <xf numFmtId="0" fontId="1" fillId="3" borderId="5" xfId="0" quotePrefix="1" applyFont="1" applyFill="1" applyBorder="1" applyAlignment="1">
      <alignment vertical="center" wrapText="1" readingOrder="1"/>
    </xf>
    <xf numFmtId="0" fontId="1" fillId="3" borderId="15" xfId="0" quotePrefix="1" applyFont="1" applyFill="1" applyBorder="1" applyAlignment="1">
      <alignment horizontal="left" vertical="center" wrapText="1" readingOrder="1"/>
    </xf>
    <xf numFmtId="0" fontId="1" fillId="3" borderId="11" xfId="0" quotePrefix="1"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0" fontId="4" fillId="3" borderId="8" xfId="0" quotePrefix="1" applyFont="1" applyFill="1" applyBorder="1" applyAlignment="1">
      <alignment horizontal="center" vertical="center" wrapText="1" readingOrder="1"/>
    </xf>
    <xf numFmtId="0" fontId="4" fillId="3" borderId="10" xfId="0" quotePrefix="1" applyFont="1" applyFill="1" applyBorder="1" applyAlignment="1">
      <alignment horizontal="center" vertical="center" wrapText="1" readingOrder="1"/>
    </xf>
    <xf numFmtId="0" fontId="4" fillId="3" borderId="9" xfId="0" quotePrefix="1" applyFont="1" applyFill="1" applyBorder="1" applyAlignment="1">
      <alignment horizontal="center" vertical="center" wrapText="1" readingOrder="1"/>
    </xf>
    <xf numFmtId="0" fontId="1" fillId="3" borderId="4" xfId="0" quotePrefix="1" applyFont="1" applyFill="1" applyBorder="1" applyAlignment="1">
      <alignment horizontal="center" vertical="top" wrapText="1" readingOrder="1"/>
    </xf>
    <xf numFmtId="0" fontId="1" fillId="3" borderId="11" xfId="0" quotePrefix="1" applyFont="1" applyFill="1" applyBorder="1" applyAlignment="1">
      <alignment horizontal="center" vertical="top" wrapText="1" readingOrder="1"/>
    </xf>
    <xf numFmtId="0" fontId="1" fillId="3" borderId="5" xfId="0" quotePrefix="1" applyFont="1" applyFill="1" applyBorder="1" applyAlignment="1">
      <alignment horizontal="center" vertical="top" wrapText="1" readingOrder="1"/>
    </xf>
    <xf numFmtId="0" fontId="1" fillId="3" borderId="8" xfId="0" quotePrefix="1" applyFont="1" applyFill="1" applyBorder="1" applyAlignment="1">
      <alignment horizontal="center" vertical="center" wrapText="1" readingOrder="1"/>
    </xf>
    <xf numFmtId="0" fontId="1" fillId="3" borderId="10" xfId="0" quotePrefix="1" applyFont="1" applyFill="1" applyBorder="1" applyAlignment="1">
      <alignment horizontal="center" vertical="center" wrapText="1" readingOrder="1"/>
    </xf>
    <xf numFmtId="0" fontId="1" fillId="3" borderId="9" xfId="0" quotePrefix="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1" fillId="3" borderId="11"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cellXfs>
  <cellStyles count="1">
    <cellStyle name="Standard" xfId="0" builtinId="0"/>
  </cellStyles>
  <dxfs count="12">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AB33"/>
  <sheetViews>
    <sheetView tabSelected="1" topLeftCell="B4" zoomScale="115" zoomScaleNormal="115" workbookViewId="0">
      <selection activeCell="G9" sqref="G9"/>
    </sheetView>
  </sheetViews>
  <sheetFormatPr baseColWidth="10" defaultColWidth="9.08984375" defaultRowHeight="14.5" x14ac:dyDescent="0.35"/>
  <cols>
    <col min="1" max="3" width="8.6328125" style="11"/>
    <col min="4" max="4" width="10.90625" style="11" customWidth="1"/>
    <col min="5" max="5" width="11.54296875" style="11" customWidth="1"/>
    <col min="6" max="6" width="11.08984375" style="11" customWidth="1"/>
    <col min="7" max="7" width="11.08984375" customWidth="1"/>
    <col min="8" max="8" width="10.90625" style="29" customWidth="1"/>
    <col min="9" max="9" width="13.90625" style="32" customWidth="1"/>
    <col min="10" max="10" width="14.453125" style="32" customWidth="1"/>
    <col min="11" max="11" width="10.08984375" style="29" customWidth="1"/>
    <col min="12" max="12" width="9.08984375" style="32"/>
    <col min="13" max="13" width="12" style="32" customWidth="1"/>
    <col min="14" max="14" width="10.08984375" style="32" customWidth="1"/>
    <col min="15" max="15" width="22.36328125" style="32" customWidth="1"/>
    <col min="16" max="16" width="10" customWidth="1"/>
    <col min="17" max="17" width="30.453125" customWidth="1"/>
    <col min="18" max="18" width="12.453125" customWidth="1"/>
    <col min="19" max="19" width="13.08984375" customWidth="1"/>
    <col min="20" max="26" width="10.81640625" customWidth="1"/>
  </cols>
  <sheetData>
    <row r="1" spans="1:28" s="1" customFormat="1" ht="42.65" customHeight="1" thickBot="1" x14ac:dyDescent="0.4">
      <c r="A1" s="9" t="s">
        <v>0</v>
      </c>
      <c r="B1" s="9" t="s">
        <v>1</v>
      </c>
      <c r="C1" s="9" t="s">
        <v>2</v>
      </c>
      <c r="D1" s="9" t="s">
        <v>4</v>
      </c>
      <c r="E1" s="9" t="s">
        <v>5</v>
      </c>
      <c r="F1" s="9" t="s">
        <v>15</v>
      </c>
      <c r="G1" s="3" t="s">
        <v>9</v>
      </c>
      <c r="H1" s="27" t="s">
        <v>13</v>
      </c>
      <c r="I1" s="15" t="s">
        <v>10</v>
      </c>
      <c r="J1" s="15" t="s">
        <v>11</v>
      </c>
      <c r="K1" s="27" t="s">
        <v>6</v>
      </c>
      <c r="L1" s="15" t="s">
        <v>7</v>
      </c>
      <c r="M1" s="15" t="s">
        <v>8</v>
      </c>
      <c r="N1" s="15" t="s">
        <v>3</v>
      </c>
      <c r="O1" s="15" t="s">
        <v>42</v>
      </c>
      <c r="P1" s="3" t="s">
        <v>12</v>
      </c>
      <c r="Q1" s="3" t="s">
        <v>14</v>
      </c>
      <c r="R1" s="4" t="s">
        <v>16</v>
      </c>
      <c r="S1" s="4" t="s">
        <v>17</v>
      </c>
      <c r="T1" s="5" t="s">
        <v>18</v>
      </c>
      <c r="U1" s="5" t="s">
        <v>19</v>
      </c>
      <c r="V1" s="5" t="s">
        <v>22</v>
      </c>
      <c r="W1" s="5" t="s">
        <v>20</v>
      </c>
      <c r="X1" s="4" t="s">
        <v>23</v>
      </c>
      <c r="Y1" s="4" t="s">
        <v>21</v>
      </c>
      <c r="Z1" s="4" t="s">
        <v>24</v>
      </c>
    </row>
    <row r="2" spans="1:28" s="1" customFormat="1" ht="75.650000000000006" customHeight="1" thickBot="1" x14ac:dyDescent="0.4">
      <c r="A2" s="8">
        <v>1</v>
      </c>
      <c r="B2" s="8" t="s">
        <v>43</v>
      </c>
      <c r="C2" s="8" t="s">
        <v>44</v>
      </c>
      <c r="D2" s="8" t="s">
        <v>50</v>
      </c>
      <c r="E2" s="8" t="s">
        <v>49</v>
      </c>
      <c r="F2" s="8" t="s">
        <v>48</v>
      </c>
      <c r="G2" s="6">
        <v>110000033490</v>
      </c>
      <c r="H2" s="14" t="s">
        <v>47</v>
      </c>
      <c r="I2" s="30" t="s">
        <v>46</v>
      </c>
      <c r="J2" s="30" t="s">
        <v>51</v>
      </c>
      <c r="K2" s="14" t="s">
        <v>52</v>
      </c>
      <c r="L2" s="30" t="s">
        <v>53</v>
      </c>
      <c r="M2" s="30" t="s">
        <v>54</v>
      </c>
      <c r="N2" s="30" t="s">
        <v>65</v>
      </c>
      <c r="O2" s="30" t="s">
        <v>117</v>
      </c>
      <c r="P2" s="34" t="s">
        <v>103</v>
      </c>
      <c r="Q2" s="14" t="s">
        <v>104</v>
      </c>
      <c r="R2" s="33" t="s">
        <v>61</v>
      </c>
      <c r="S2" s="33" t="s">
        <v>62</v>
      </c>
      <c r="T2" s="19">
        <v>147079</v>
      </c>
      <c r="U2" s="19">
        <v>1176632</v>
      </c>
      <c r="V2" s="24">
        <f>(0.83-0.95)*T2</f>
        <v>-17649.48</v>
      </c>
      <c r="W2" s="24">
        <f>(0.83-0.95)*U2</f>
        <v>-141195.84</v>
      </c>
      <c r="X2" s="17">
        <v>0</v>
      </c>
      <c r="Y2" s="17">
        <v>0</v>
      </c>
      <c r="Z2" s="7">
        <f>Y2-X2</f>
        <v>0</v>
      </c>
    </row>
    <row r="3" spans="1:28" s="1" customFormat="1" ht="72.650000000000006" customHeight="1" thickBot="1" x14ac:dyDescent="0.4">
      <c r="A3" s="20">
        <v>2</v>
      </c>
      <c r="B3" s="20" t="s">
        <v>26</v>
      </c>
      <c r="C3" s="25" t="s">
        <v>82</v>
      </c>
      <c r="D3" s="20" t="s">
        <v>56</v>
      </c>
      <c r="E3" s="18" t="s">
        <v>49</v>
      </c>
      <c r="F3" s="20" t="s">
        <v>71</v>
      </c>
      <c r="G3" s="23" t="s">
        <v>63</v>
      </c>
      <c r="H3" s="21" t="s">
        <v>57</v>
      </c>
      <c r="I3" s="31" t="s">
        <v>58</v>
      </c>
      <c r="J3" s="31" t="s">
        <v>59</v>
      </c>
      <c r="K3" s="21" t="s">
        <v>60</v>
      </c>
      <c r="L3" s="31" t="s">
        <v>25</v>
      </c>
      <c r="M3" s="31" t="s">
        <v>64</v>
      </c>
      <c r="N3" s="31" t="s">
        <v>69</v>
      </c>
      <c r="O3" s="31" t="s">
        <v>105</v>
      </c>
      <c r="P3" s="34" t="s">
        <v>103</v>
      </c>
      <c r="Q3" s="21" t="s">
        <v>106</v>
      </c>
      <c r="R3" s="16">
        <v>1.45</v>
      </c>
      <c r="S3" s="16">
        <v>1.35</v>
      </c>
      <c r="T3" s="22">
        <v>366264</v>
      </c>
      <c r="U3" s="22">
        <v>3662640</v>
      </c>
      <c r="V3" s="24">
        <f>(S3-R3)*T3</f>
        <v>-36626.399999999951</v>
      </c>
      <c r="W3" s="24">
        <f>(S3-R3)*U3</f>
        <v>-366263.99999999953</v>
      </c>
      <c r="X3" s="17">
        <v>0</v>
      </c>
      <c r="Y3" s="17">
        <v>0</v>
      </c>
      <c r="Z3" s="17">
        <f>Y3-X3</f>
        <v>0</v>
      </c>
      <c r="AA3" s="13"/>
      <c r="AB3" s="13"/>
    </row>
    <row r="4" spans="1:28" s="1" customFormat="1" ht="55" customHeight="1" thickBot="1" x14ac:dyDescent="0.4">
      <c r="A4" s="50">
        <v>3</v>
      </c>
      <c r="B4" s="53" t="s">
        <v>26</v>
      </c>
      <c r="C4" s="35" t="s">
        <v>27</v>
      </c>
      <c r="D4" s="35" t="s">
        <v>28</v>
      </c>
      <c r="E4" s="35" t="s">
        <v>29</v>
      </c>
      <c r="F4" s="35" t="s">
        <v>45</v>
      </c>
      <c r="G4" s="14" t="s">
        <v>31</v>
      </c>
      <c r="H4" s="14" t="s">
        <v>30</v>
      </c>
      <c r="I4" s="30" t="s">
        <v>34</v>
      </c>
      <c r="J4" s="30" t="s">
        <v>37</v>
      </c>
      <c r="K4" s="14" t="s">
        <v>38</v>
      </c>
      <c r="L4" s="30" t="s">
        <v>25</v>
      </c>
      <c r="M4" s="30" t="s">
        <v>39</v>
      </c>
      <c r="N4" s="30" t="s">
        <v>66</v>
      </c>
      <c r="O4" s="38" t="s">
        <v>107</v>
      </c>
      <c r="P4" s="44" t="s">
        <v>103</v>
      </c>
      <c r="Q4" s="41" t="s">
        <v>108</v>
      </c>
      <c r="R4" s="16">
        <f>54.11/100</f>
        <v>0.54110000000000003</v>
      </c>
      <c r="S4" s="16">
        <v>0.32</v>
      </c>
      <c r="T4" s="19">
        <v>3686190</v>
      </c>
      <c r="U4" s="19">
        <v>16248377</v>
      </c>
      <c r="V4" s="24">
        <f>(S4-R4)*T4</f>
        <v>-815016.60900000005</v>
      </c>
      <c r="W4" s="24">
        <f>(S4-R4)*U4</f>
        <v>-3592516.1547000003</v>
      </c>
      <c r="X4" s="7">
        <v>0</v>
      </c>
      <c r="Y4" s="24">
        <v>222600</v>
      </c>
      <c r="Z4" s="24">
        <f>+Y4-X4</f>
        <v>222600</v>
      </c>
    </row>
    <row r="5" spans="1:28" s="1" customFormat="1" ht="55" customHeight="1" thickBot="1" x14ac:dyDescent="0.4">
      <c r="A5" s="51"/>
      <c r="B5" s="54"/>
      <c r="C5" s="36"/>
      <c r="D5" s="36"/>
      <c r="E5" s="36"/>
      <c r="F5" s="36"/>
      <c r="G5" s="2" t="s">
        <v>32</v>
      </c>
      <c r="H5" s="14" t="s">
        <v>30</v>
      </c>
      <c r="I5" s="30" t="s">
        <v>35</v>
      </c>
      <c r="J5" s="30" t="s">
        <v>37</v>
      </c>
      <c r="K5" s="14" t="s">
        <v>38</v>
      </c>
      <c r="L5" s="30" t="s">
        <v>25</v>
      </c>
      <c r="M5" s="30" t="s">
        <v>40</v>
      </c>
      <c r="N5" s="30" t="s">
        <v>67</v>
      </c>
      <c r="O5" s="39"/>
      <c r="P5" s="45"/>
      <c r="Q5" s="42"/>
      <c r="R5" s="16">
        <f>8.88/100</f>
        <v>8.8800000000000004E-2</v>
      </c>
      <c r="S5" s="16">
        <f>5.05/100</f>
        <v>5.0499999999999996E-2</v>
      </c>
      <c r="T5" s="12">
        <v>3686190</v>
      </c>
      <c r="U5" s="12">
        <v>16248377</v>
      </c>
      <c r="V5" s="24">
        <f>(S5-R5)*T5</f>
        <v>-141181.07700000002</v>
      </c>
      <c r="W5" s="24">
        <f>(S5-R5)*U5</f>
        <v>-622312.8391000001</v>
      </c>
      <c r="X5" s="7">
        <v>0</v>
      </c>
      <c r="Y5" s="24">
        <v>165700</v>
      </c>
      <c r="Z5" s="24">
        <f t="shared" ref="Z5:Z6" si="0">+Y5-X5</f>
        <v>165700</v>
      </c>
    </row>
    <row r="6" spans="1:28" s="1" customFormat="1" ht="73.75" customHeight="1" thickBot="1" x14ac:dyDescent="0.4">
      <c r="A6" s="52"/>
      <c r="B6" s="55"/>
      <c r="C6" s="37"/>
      <c r="D6" s="37"/>
      <c r="E6" s="37"/>
      <c r="F6" s="37"/>
      <c r="G6" s="14" t="s">
        <v>33</v>
      </c>
      <c r="H6" s="14" t="s">
        <v>30</v>
      </c>
      <c r="I6" s="30" t="s">
        <v>36</v>
      </c>
      <c r="J6" s="30" t="s">
        <v>37</v>
      </c>
      <c r="K6" s="14" t="s">
        <v>38</v>
      </c>
      <c r="L6" s="30" t="s">
        <v>25</v>
      </c>
      <c r="M6" s="30" t="s">
        <v>41</v>
      </c>
      <c r="N6" s="30" t="s">
        <v>68</v>
      </c>
      <c r="O6" s="40"/>
      <c r="P6" s="46"/>
      <c r="Q6" s="43"/>
      <c r="R6" s="16">
        <v>0.20749999999999999</v>
      </c>
      <c r="S6" s="16">
        <v>0.14499999999999999</v>
      </c>
      <c r="T6" s="12">
        <f>+T5</f>
        <v>3686190</v>
      </c>
      <c r="U6" s="12">
        <f>+U5</f>
        <v>16248377</v>
      </c>
      <c r="V6" s="24">
        <f>(S6-R6)*T6</f>
        <v>-230386.875</v>
      </c>
      <c r="W6" s="24">
        <f>(S6-R6)*U6</f>
        <v>-1015523.5625</v>
      </c>
      <c r="X6" s="7">
        <v>0</v>
      </c>
      <c r="Y6" s="24">
        <v>253100</v>
      </c>
      <c r="Z6" s="24">
        <f t="shared" si="0"/>
        <v>253100</v>
      </c>
    </row>
    <row r="7" spans="1:28" s="1" customFormat="1" ht="114.65" customHeight="1" thickBot="1" x14ac:dyDescent="0.4">
      <c r="A7" s="8">
        <v>4</v>
      </c>
      <c r="B7" s="8" t="s">
        <v>73</v>
      </c>
      <c r="C7" s="20" t="s">
        <v>55</v>
      </c>
      <c r="D7" s="8" t="s">
        <v>74</v>
      </c>
      <c r="E7" s="18" t="s">
        <v>29</v>
      </c>
      <c r="F7" s="18" t="s">
        <v>72</v>
      </c>
      <c r="G7" s="14" t="s">
        <v>70</v>
      </c>
      <c r="H7" s="14" t="s">
        <v>75</v>
      </c>
      <c r="I7" s="30" t="s">
        <v>76</v>
      </c>
      <c r="J7" s="30" t="s">
        <v>109</v>
      </c>
      <c r="K7" s="14" t="s">
        <v>77</v>
      </c>
      <c r="L7" s="30" t="s">
        <v>53</v>
      </c>
      <c r="M7" s="30" t="s">
        <v>79</v>
      </c>
      <c r="N7" s="30" t="s">
        <v>78</v>
      </c>
      <c r="O7" s="30" t="s">
        <v>111</v>
      </c>
      <c r="P7" s="34" t="s">
        <v>103</v>
      </c>
      <c r="Q7" s="14" t="s">
        <v>110</v>
      </c>
      <c r="R7" s="2" t="s">
        <v>80</v>
      </c>
      <c r="S7" s="14" t="s">
        <v>80</v>
      </c>
      <c r="T7" s="19">
        <v>666400</v>
      </c>
      <c r="U7" s="19">
        <v>4664800</v>
      </c>
      <c r="V7" s="24">
        <f>(0.2506-0.2506)*T7</f>
        <v>0</v>
      </c>
      <c r="W7" s="24">
        <f>(0.2506-0.2506)*U7</f>
        <v>0</v>
      </c>
      <c r="X7" s="24">
        <v>0</v>
      </c>
      <c r="Y7" s="24">
        <v>0</v>
      </c>
      <c r="Z7" s="17">
        <f>Y7-X7</f>
        <v>0</v>
      </c>
    </row>
    <row r="8" spans="1:28" s="13" customFormat="1" ht="55" customHeight="1" thickBot="1" x14ac:dyDescent="0.4">
      <c r="A8" s="50">
        <v>5</v>
      </c>
      <c r="B8" s="53" t="s">
        <v>43</v>
      </c>
      <c r="C8" s="35" t="s">
        <v>82</v>
      </c>
      <c r="D8" s="35" t="s">
        <v>95</v>
      </c>
      <c r="E8" s="35" t="s">
        <v>96</v>
      </c>
      <c r="F8" s="35" t="s">
        <v>94</v>
      </c>
      <c r="G8" s="14" t="s">
        <v>83</v>
      </c>
      <c r="H8" s="14" t="s">
        <v>86</v>
      </c>
      <c r="I8" s="30" t="s">
        <v>87</v>
      </c>
      <c r="J8" s="30" t="s">
        <v>88</v>
      </c>
      <c r="K8" s="14" t="s">
        <v>89</v>
      </c>
      <c r="L8" s="26" t="s">
        <v>81</v>
      </c>
      <c r="M8" s="30" t="s">
        <v>90</v>
      </c>
      <c r="N8" s="30" t="s">
        <v>91</v>
      </c>
      <c r="O8" s="38" t="s">
        <v>116</v>
      </c>
      <c r="P8" s="44" t="s">
        <v>118</v>
      </c>
      <c r="Q8" s="47"/>
      <c r="R8" s="33" t="s">
        <v>92</v>
      </c>
      <c r="S8" s="33" t="s">
        <v>93</v>
      </c>
      <c r="T8" s="19">
        <v>124085</v>
      </c>
      <c r="U8" s="19">
        <v>992678</v>
      </c>
      <c r="V8" s="24">
        <f>(0.0082-0.0114)*T8</f>
        <v>-397.07199999999995</v>
      </c>
      <c r="W8" s="24">
        <f>(0.0082-0.0114)*U8</f>
        <v>-3176.5695999999998</v>
      </c>
      <c r="X8" s="17">
        <v>0</v>
      </c>
      <c r="Y8" s="24">
        <v>0</v>
      </c>
      <c r="Z8" s="17">
        <f t="shared" ref="Z8:Z9" si="1">Y8-X8</f>
        <v>0</v>
      </c>
    </row>
    <row r="9" spans="1:28" s="13" customFormat="1" ht="55" customHeight="1" thickBot="1" x14ac:dyDescent="0.4">
      <c r="A9" s="51"/>
      <c r="B9" s="54"/>
      <c r="C9" s="36"/>
      <c r="D9" s="36"/>
      <c r="E9" s="36"/>
      <c r="F9" s="36"/>
      <c r="G9" s="14" t="s">
        <v>84</v>
      </c>
      <c r="H9" s="14" t="s">
        <v>86</v>
      </c>
      <c r="I9" s="30" t="s">
        <v>97</v>
      </c>
      <c r="J9" s="30" t="s">
        <v>88</v>
      </c>
      <c r="K9" s="14" t="s">
        <v>89</v>
      </c>
      <c r="L9" s="26" t="s">
        <v>81</v>
      </c>
      <c r="M9" s="30" t="s">
        <v>98</v>
      </c>
      <c r="N9" s="30" t="s">
        <v>99</v>
      </c>
      <c r="O9" s="39"/>
      <c r="P9" s="45"/>
      <c r="Q9" s="48"/>
      <c r="R9" s="33" t="s">
        <v>100</v>
      </c>
      <c r="S9" s="33" t="s">
        <v>101</v>
      </c>
      <c r="T9" s="19">
        <v>124085</v>
      </c>
      <c r="U9" s="19">
        <v>992678</v>
      </c>
      <c r="V9" s="24">
        <f>(0.0086-0.0152)*T9</f>
        <v>-818.96100000000001</v>
      </c>
      <c r="W9" s="24">
        <f>(0.0086-0.0152)*U9</f>
        <v>-6551.6747999999998</v>
      </c>
      <c r="X9" s="17">
        <v>0</v>
      </c>
      <c r="Y9" s="24">
        <v>0</v>
      </c>
      <c r="Z9" s="17">
        <f t="shared" si="1"/>
        <v>0</v>
      </c>
    </row>
    <row r="10" spans="1:28" s="13" customFormat="1" ht="55" customHeight="1" thickBot="1" x14ac:dyDescent="0.4">
      <c r="A10" s="52"/>
      <c r="B10" s="55"/>
      <c r="C10" s="37"/>
      <c r="D10" s="37"/>
      <c r="E10" s="37"/>
      <c r="F10" s="37"/>
      <c r="G10" s="14" t="s">
        <v>85</v>
      </c>
      <c r="H10" s="14" t="s">
        <v>86</v>
      </c>
      <c r="I10" s="30" t="s">
        <v>102</v>
      </c>
      <c r="J10" s="30" t="s">
        <v>88</v>
      </c>
      <c r="K10" s="14" t="s">
        <v>89</v>
      </c>
      <c r="L10" s="26" t="s">
        <v>81</v>
      </c>
      <c r="M10" s="30" t="s">
        <v>112</v>
      </c>
      <c r="N10" s="30" t="s">
        <v>113</v>
      </c>
      <c r="O10" s="40"/>
      <c r="P10" s="46"/>
      <c r="Q10" s="49"/>
      <c r="R10" s="16" t="s">
        <v>114</v>
      </c>
      <c r="S10" s="16" t="s">
        <v>115</v>
      </c>
      <c r="T10" s="19">
        <f>+T9</f>
        <v>124085</v>
      </c>
      <c r="U10" s="19">
        <f>+U9</f>
        <v>992678</v>
      </c>
      <c r="V10" s="24">
        <f>(0.0101-0.0342)*T10</f>
        <v>-2990.4485000000004</v>
      </c>
      <c r="W10" s="24">
        <f>(0.0101-0.0342)*U10</f>
        <v>-23923.539800000002</v>
      </c>
      <c r="X10" s="17">
        <v>0</v>
      </c>
      <c r="Y10" s="24">
        <v>0</v>
      </c>
      <c r="Z10" s="17">
        <f t="shared" ref="Z10" si="2">Y10-X10</f>
        <v>0</v>
      </c>
    </row>
    <row r="11" spans="1:28" s="1" customFormat="1" ht="42.65" customHeight="1" x14ac:dyDescent="0.35">
      <c r="A11" s="10"/>
      <c r="B11" s="10"/>
      <c r="C11" s="10"/>
      <c r="D11" s="10"/>
      <c r="E11" s="10"/>
      <c r="F11" s="10"/>
      <c r="H11" s="28"/>
      <c r="I11" s="13"/>
      <c r="J11" s="13"/>
      <c r="K11" s="28"/>
      <c r="L11" s="13"/>
      <c r="M11" s="13"/>
      <c r="N11" s="13"/>
      <c r="O11" s="13"/>
    </row>
    <row r="12" spans="1:28" s="1" customFormat="1" ht="42.65" customHeight="1" x14ac:dyDescent="0.35">
      <c r="A12" s="10"/>
      <c r="B12" s="10"/>
      <c r="C12" s="10"/>
      <c r="D12" s="10"/>
      <c r="E12" s="10"/>
      <c r="F12" s="10"/>
      <c r="H12" s="28"/>
      <c r="I12" s="13"/>
      <c r="J12" s="13"/>
      <c r="K12" s="28"/>
      <c r="L12" s="13"/>
      <c r="M12" s="13"/>
      <c r="N12" s="13"/>
      <c r="O12" s="13"/>
    </row>
    <row r="13" spans="1:28" s="1" customFormat="1" ht="42.65" customHeight="1" x14ac:dyDescent="0.35">
      <c r="A13" s="10"/>
      <c r="B13" s="10"/>
      <c r="C13" s="10"/>
      <c r="D13" s="10"/>
      <c r="E13" s="10"/>
      <c r="F13" s="10"/>
      <c r="H13" s="28"/>
      <c r="I13" s="13"/>
      <c r="J13" s="13"/>
      <c r="K13" s="28"/>
      <c r="L13" s="13"/>
      <c r="M13" s="13"/>
      <c r="N13" s="13"/>
      <c r="O13" s="13"/>
    </row>
    <row r="14" spans="1:28" s="1" customFormat="1" ht="42.65" customHeight="1" x14ac:dyDescent="0.35">
      <c r="A14" s="10"/>
      <c r="B14" s="10"/>
      <c r="C14" s="10"/>
      <c r="D14" s="10"/>
      <c r="E14" s="10"/>
      <c r="F14" s="10"/>
      <c r="H14" s="28"/>
      <c r="I14" s="13"/>
      <c r="J14" s="13"/>
      <c r="K14" s="28"/>
      <c r="L14" s="13"/>
      <c r="M14" s="13"/>
      <c r="N14" s="13"/>
      <c r="O14" s="13"/>
    </row>
    <row r="15" spans="1:28" s="1" customFormat="1" ht="42.65" customHeight="1" x14ac:dyDescent="0.35">
      <c r="A15" s="10"/>
      <c r="B15" s="10"/>
      <c r="C15" s="10"/>
      <c r="D15" s="10"/>
      <c r="E15" s="10"/>
      <c r="F15" s="10"/>
      <c r="H15" s="28"/>
      <c r="I15" s="13"/>
      <c r="J15" s="13"/>
      <c r="K15" s="28"/>
      <c r="L15" s="13"/>
      <c r="M15" s="13"/>
      <c r="N15" s="13"/>
      <c r="O15" s="13"/>
    </row>
    <row r="16" spans="1:28" s="1" customFormat="1" ht="42.65" customHeight="1" x14ac:dyDescent="0.35">
      <c r="A16" s="10"/>
      <c r="B16" s="10"/>
      <c r="C16" s="10"/>
      <c r="D16" s="10"/>
      <c r="E16" s="10"/>
      <c r="F16" s="10"/>
      <c r="H16" s="28"/>
      <c r="I16" s="13"/>
      <c r="J16" s="13"/>
      <c r="K16" s="28"/>
      <c r="L16" s="13"/>
      <c r="M16" s="13"/>
      <c r="N16" s="13"/>
      <c r="O16" s="13"/>
    </row>
    <row r="17" spans="1:15" s="1" customFormat="1" ht="42.65" customHeight="1" x14ac:dyDescent="0.35">
      <c r="A17" s="10"/>
      <c r="B17" s="10"/>
      <c r="C17" s="10"/>
      <c r="D17" s="10"/>
      <c r="E17" s="10"/>
      <c r="F17" s="10"/>
      <c r="H17" s="28"/>
      <c r="I17" s="13"/>
      <c r="J17" s="13"/>
      <c r="K17" s="28"/>
      <c r="L17" s="13"/>
      <c r="M17" s="13"/>
      <c r="N17" s="13"/>
      <c r="O17" s="13"/>
    </row>
    <row r="18" spans="1:15" s="1" customFormat="1" ht="42.65" customHeight="1" x14ac:dyDescent="0.35">
      <c r="A18" s="10"/>
      <c r="B18" s="10"/>
      <c r="C18" s="10"/>
      <c r="D18" s="10"/>
      <c r="E18" s="10"/>
      <c r="F18" s="10"/>
      <c r="H18" s="28"/>
      <c r="I18" s="13"/>
      <c r="J18" s="13"/>
      <c r="K18" s="28"/>
      <c r="L18" s="13"/>
      <c r="M18" s="13"/>
      <c r="N18" s="13"/>
      <c r="O18" s="13"/>
    </row>
    <row r="19" spans="1:15" s="1" customFormat="1" ht="42.65" customHeight="1" x14ac:dyDescent="0.35">
      <c r="A19" s="10"/>
      <c r="B19" s="10"/>
      <c r="C19" s="10"/>
      <c r="D19" s="10"/>
      <c r="E19" s="10"/>
      <c r="F19" s="10"/>
      <c r="H19" s="28"/>
      <c r="I19" s="13"/>
      <c r="J19" s="13"/>
      <c r="K19" s="28"/>
      <c r="L19" s="13"/>
      <c r="M19" s="13"/>
      <c r="N19" s="13"/>
      <c r="O19" s="13"/>
    </row>
    <row r="20" spans="1:15" s="1" customFormat="1" ht="42.65" customHeight="1" x14ac:dyDescent="0.35">
      <c r="A20" s="10"/>
      <c r="B20" s="10"/>
      <c r="C20" s="10"/>
      <c r="D20" s="10"/>
      <c r="E20" s="10"/>
      <c r="F20" s="10"/>
      <c r="H20" s="28"/>
      <c r="I20" s="13"/>
      <c r="J20" s="13"/>
      <c r="K20" s="28"/>
      <c r="L20" s="13"/>
      <c r="M20" s="13"/>
      <c r="N20" s="13"/>
      <c r="O20" s="13"/>
    </row>
    <row r="21" spans="1:15" s="1" customFormat="1" ht="42.65" customHeight="1" x14ac:dyDescent="0.35">
      <c r="A21" s="10"/>
      <c r="B21" s="10"/>
      <c r="C21" s="10"/>
      <c r="D21" s="10"/>
      <c r="E21" s="10"/>
      <c r="F21" s="10"/>
      <c r="H21" s="28"/>
      <c r="I21" s="13"/>
      <c r="J21" s="13"/>
      <c r="K21" s="28"/>
      <c r="L21" s="13"/>
      <c r="M21" s="13"/>
      <c r="N21" s="13"/>
      <c r="O21" s="13"/>
    </row>
    <row r="22" spans="1:15" s="1" customFormat="1" ht="42.65" customHeight="1" x14ac:dyDescent="0.35">
      <c r="A22" s="10"/>
      <c r="B22" s="10"/>
      <c r="C22" s="10"/>
      <c r="D22" s="10"/>
      <c r="E22" s="10"/>
      <c r="F22" s="10"/>
      <c r="H22" s="28"/>
      <c r="I22" s="13"/>
      <c r="J22" s="13"/>
      <c r="K22" s="28"/>
      <c r="L22" s="13"/>
      <c r="M22" s="13"/>
      <c r="N22" s="13"/>
      <c r="O22" s="13"/>
    </row>
    <row r="23" spans="1:15" s="1" customFormat="1" ht="42.65" customHeight="1" x14ac:dyDescent="0.35">
      <c r="A23" s="10"/>
      <c r="B23" s="10"/>
      <c r="C23" s="10"/>
      <c r="D23" s="10"/>
      <c r="E23" s="10"/>
      <c r="F23" s="10"/>
      <c r="H23" s="28"/>
      <c r="I23" s="13"/>
      <c r="J23" s="13"/>
      <c r="K23" s="28"/>
      <c r="L23" s="13"/>
      <c r="M23" s="13"/>
      <c r="N23" s="13"/>
      <c r="O23" s="13"/>
    </row>
    <row r="24" spans="1:15" s="1" customFormat="1" ht="42.65" customHeight="1" x14ac:dyDescent="0.35">
      <c r="A24" s="10"/>
      <c r="B24" s="10"/>
      <c r="C24" s="10"/>
      <c r="D24" s="10"/>
      <c r="E24" s="10"/>
      <c r="F24" s="10"/>
      <c r="H24" s="28"/>
      <c r="I24" s="13"/>
      <c r="J24" s="13"/>
      <c r="K24" s="28"/>
      <c r="L24" s="13"/>
      <c r="M24" s="13"/>
      <c r="N24" s="13"/>
      <c r="O24" s="13"/>
    </row>
    <row r="25" spans="1:15" s="1" customFormat="1" ht="42.65" customHeight="1" x14ac:dyDescent="0.35">
      <c r="A25" s="10"/>
      <c r="B25" s="10"/>
      <c r="C25" s="10"/>
      <c r="D25" s="10"/>
      <c r="E25" s="10"/>
      <c r="F25" s="10"/>
      <c r="H25" s="28"/>
      <c r="I25" s="13"/>
      <c r="J25" s="13"/>
      <c r="K25" s="28"/>
      <c r="L25" s="13"/>
      <c r="M25" s="13"/>
      <c r="N25" s="13"/>
      <c r="O25" s="13"/>
    </row>
    <row r="26" spans="1:15" s="1" customFormat="1" ht="42.65" customHeight="1" x14ac:dyDescent="0.35">
      <c r="A26" s="10"/>
      <c r="B26" s="10"/>
      <c r="C26" s="10"/>
      <c r="D26" s="10"/>
      <c r="E26" s="10"/>
      <c r="F26" s="10"/>
      <c r="H26" s="28"/>
      <c r="I26" s="13"/>
      <c r="J26" s="13"/>
      <c r="K26" s="28"/>
      <c r="L26" s="13"/>
      <c r="M26" s="13"/>
      <c r="N26" s="13"/>
      <c r="O26" s="13"/>
    </row>
    <row r="27" spans="1:15" s="1" customFormat="1" ht="42.65" customHeight="1" x14ac:dyDescent="0.35">
      <c r="A27" s="10"/>
      <c r="B27" s="10"/>
      <c r="C27" s="10"/>
      <c r="D27" s="10"/>
      <c r="E27" s="10"/>
      <c r="F27" s="10"/>
      <c r="H27" s="28"/>
      <c r="I27" s="13"/>
      <c r="J27" s="13"/>
      <c r="K27" s="28"/>
      <c r="L27" s="13"/>
      <c r="M27" s="13"/>
      <c r="N27" s="13"/>
      <c r="O27" s="13"/>
    </row>
    <row r="28" spans="1:15" s="1" customFormat="1" ht="42.65" customHeight="1" x14ac:dyDescent="0.35">
      <c r="A28" s="10"/>
      <c r="B28" s="10"/>
      <c r="C28" s="10"/>
      <c r="D28" s="10"/>
      <c r="E28" s="10"/>
      <c r="F28" s="10"/>
      <c r="H28" s="28"/>
      <c r="I28" s="13"/>
      <c r="J28" s="13"/>
      <c r="K28" s="28"/>
      <c r="L28" s="13"/>
      <c r="M28" s="13"/>
      <c r="N28" s="13"/>
      <c r="O28" s="13"/>
    </row>
    <row r="29" spans="1:15" s="1" customFormat="1" ht="42.65" customHeight="1" x14ac:dyDescent="0.35">
      <c r="A29" s="10"/>
      <c r="B29" s="10"/>
      <c r="C29" s="10"/>
      <c r="D29" s="10"/>
      <c r="E29" s="10"/>
      <c r="F29" s="10"/>
      <c r="H29" s="28"/>
      <c r="I29" s="13"/>
      <c r="J29" s="13"/>
      <c r="K29" s="28"/>
      <c r="L29" s="13"/>
      <c r="M29" s="13"/>
      <c r="N29" s="13"/>
      <c r="O29" s="13"/>
    </row>
    <row r="30" spans="1:15" s="1" customFormat="1" ht="42.65" customHeight="1" x14ac:dyDescent="0.35">
      <c r="A30" s="10"/>
      <c r="B30" s="10"/>
      <c r="C30" s="10"/>
      <c r="D30" s="10"/>
      <c r="E30" s="10"/>
      <c r="F30" s="10"/>
      <c r="H30" s="28"/>
      <c r="I30" s="13"/>
      <c r="J30" s="13"/>
      <c r="K30" s="28"/>
      <c r="L30" s="13"/>
      <c r="M30" s="13"/>
      <c r="N30" s="13"/>
      <c r="O30" s="13"/>
    </row>
    <row r="31" spans="1:15" s="1" customFormat="1" ht="42.65" customHeight="1" x14ac:dyDescent="0.35">
      <c r="A31" s="10"/>
      <c r="B31" s="10"/>
      <c r="C31" s="10"/>
      <c r="D31" s="10"/>
      <c r="E31" s="10"/>
      <c r="F31" s="10"/>
      <c r="H31" s="28"/>
      <c r="I31" s="13"/>
      <c r="J31" s="13"/>
      <c r="K31" s="28"/>
      <c r="L31" s="13"/>
      <c r="M31" s="13"/>
      <c r="N31" s="13"/>
      <c r="O31" s="13"/>
    </row>
    <row r="32" spans="1:15" s="1" customFormat="1" ht="42.65" customHeight="1" x14ac:dyDescent="0.35">
      <c r="A32" s="10"/>
      <c r="B32" s="10"/>
      <c r="C32" s="10"/>
      <c r="D32" s="10"/>
      <c r="E32" s="10"/>
      <c r="F32" s="10"/>
      <c r="H32" s="28"/>
      <c r="I32" s="13"/>
      <c r="J32" s="13"/>
      <c r="K32" s="28"/>
      <c r="L32" s="13"/>
      <c r="M32" s="13"/>
      <c r="N32" s="13"/>
      <c r="O32" s="13"/>
    </row>
    <row r="33" spans="1:15" s="1" customFormat="1" ht="42.65" customHeight="1" x14ac:dyDescent="0.35">
      <c r="A33" s="10"/>
      <c r="B33" s="10"/>
      <c r="C33" s="10"/>
      <c r="D33" s="10"/>
      <c r="E33" s="10"/>
      <c r="F33" s="10"/>
      <c r="H33" s="28"/>
      <c r="I33" s="13"/>
      <c r="J33" s="13"/>
      <c r="K33" s="28"/>
      <c r="L33" s="13"/>
      <c r="M33" s="13"/>
      <c r="N33" s="13"/>
      <c r="O33" s="13"/>
    </row>
  </sheetData>
  <mergeCells count="18">
    <mergeCell ref="A4:A6"/>
    <mergeCell ref="B4:B6"/>
    <mergeCell ref="C4:C6"/>
    <mergeCell ref="D4:D6"/>
    <mergeCell ref="E4:E6"/>
    <mergeCell ref="A8:A10"/>
    <mergeCell ref="B8:B10"/>
    <mergeCell ref="C8:C10"/>
    <mergeCell ref="D8:D10"/>
    <mergeCell ref="E8:E10"/>
    <mergeCell ref="F8:F10"/>
    <mergeCell ref="O8:O10"/>
    <mergeCell ref="Q4:Q6"/>
    <mergeCell ref="P4:P6"/>
    <mergeCell ref="P8:P10"/>
    <mergeCell ref="Q8:Q10"/>
    <mergeCell ref="O4:O6"/>
    <mergeCell ref="F4:F6"/>
  </mergeCells>
  <conditionalFormatting sqref="V1 V11:V1048576">
    <cfRule type="cellIs" dxfId="11" priority="43" operator="lessThan">
      <formula>0</formula>
    </cfRule>
  </conditionalFormatting>
  <conditionalFormatting sqref="V3:W6">
    <cfRule type="cellIs" dxfId="10" priority="19" operator="greaterThan">
      <formula>0</formula>
    </cfRule>
    <cfRule type="cellIs" dxfId="9" priority="20" operator="lessThan">
      <formula>0</formula>
    </cfRule>
  </conditionalFormatting>
  <conditionalFormatting sqref="V7:Y10">
    <cfRule type="cellIs" dxfId="8" priority="1" operator="greaterThan">
      <formula>0</formula>
    </cfRule>
    <cfRule type="cellIs" dxfId="7" priority="2" operator="lessThan">
      <formula>0</formula>
    </cfRule>
  </conditionalFormatting>
  <conditionalFormatting sqref="W3:Y3">
    <cfRule type="cellIs" dxfId="6" priority="17" operator="lessThan">
      <formula>0</formula>
    </cfRule>
  </conditionalFormatting>
  <conditionalFormatting sqref="X2:Y3">
    <cfRule type="cellIs" dxfId="5" priority="16" operator="greaterThan">
      <formula>0</formula>
    </cfRule>
    <cfRule type="cellIs" dxfId="4" priority="22" operator="lessThan">
      <formula>0</formula>
    </cfRule>
  </conditionalFormatting>
  <conditionalFormatting sqref="X4:Z6">
    <cfRule type="cellIs" dxfId="3" priority="27" operator="greaterThan">
      <formula>0</formula>
    </cfRule>
    <cfRule type="cellIs" dxfId="2" priority="30" operator="lessThan">
      <formula>0</formula>
    </cfRule>
  </conditionalFormatting>
  <conditionalFormatting sqref="Z1">
    <cfRule type="cellIs" dxfId="1" priority="42" operator="lessThan">
      <formula>0</formula>
    </cfRule>
  </conditionalFormatting>
  <conditionalFormatting sqref="Z11:Z1048576">
    <cfRule type="cellIs" dxfId="0" priority="10" operator="less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F6520E3-5EA5-4807-AD92-2AC3183F3F85}"/>
</file>

<file path=customXml/itemProps2.xml><?xml version="1.0" encoding="utf-8"?>
<ds:datastoreItem xmlns:ds="http://schemas.openxmlformats.org/officeDocument/2006/customXml" ds:itemID="{6E455828-4E33-4167-9B50-FE3C22F3E910}"/>
</file>

<file path=customXml/itemProps3.xml><?xml version="1.0" encoding="utf-8"?>
<ds:datastoreItem xmlns:ds="http://schemas.openxmlformats.org/officeDocument/2006/customXml" ds:itemID="{3A0D8672-EC19-46CF-826B-06F20F517CC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KW05, 2026</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2026-02-03T15:13:14Z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e7c8bd3a-ea57-44dc-be01-cf262bd49f6b</vt:lpwstr>
  </property>
  <property fmtid="{D5CDD505-2E9C-101B-9397-08002B2CF9AE}" pid="10" name="ContentTypeId">
    <vt:lpwstr>0x010100D2AE94798D0E7D4487CB84FC9A87565D</vt:lpwstr>
  </property>
</Properties>
</file>