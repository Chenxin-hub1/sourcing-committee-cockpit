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14, 01.04.2026/"/>
    </mc:Choice>
  </mc:AlternateContent>
  <xr:revisionPtr revIDLastSave="0" documentId="8_{B7244F69-BC05-41B8-AC1D-56CF86D08DE7}" xr6:coauthVersionLast="47" xr6:coauthVersionMax="47" xr10:uidLastSave="{00000000-0000-0000-0000-000000000000}"/>
  <bookViews>
    <workbookView xWindow="28680" yWindow="-120" windowWidth="29040" windowHeight="15720" xr2:uid="{00000000-000D-0000-FFFF-FFFF00000000}"/>
  </bookViews>
  <sheets>
    <sheet name="KW14, 2026"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 i="4" l="1"/>
  <c r="W4" i="4"/>
  <c r="V4" i="4"/>
  <c r="W3" i="4"/>
  <c r="V3" i="4"/>
  <c r="W2" i="4"/>
  <c r="V2" i="4"/>
</calcChain>
</file>

<file path=xl/sharedStrings.xml><?xml version="1.0" encoding="utf-8"?>
<sst xmlns="http://schemas.openxmlformats.org/spreadsheetml/2006/main" count="75" uniqueCount="65">
  <si>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</si>
  <si>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</si>
  <si>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</si>
  <si>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</si>
  <si>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</si>
  <si>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</si>
  <si>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</si>
  <si>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</si>
  <si>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</si>
  <si>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</si>
  <si>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</si>
  <si>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</si>
  <si>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</si>
  <si>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</si>
  <si>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</si>
  <si>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</si>
  <si>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</si>
  <si>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</si>
  <si>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</si>
  <si>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</si>
  <si>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</si>
  <si>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</si>
  <si>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</si>
  <si>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</si>
  <si>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</si>
  <si>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</si>
  <si>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Carry Over</t>
  </si>
  <si>
    <t>L2</t>
  </si>
  <si>
    <t>EU</t>
  </si>
  <si>
    <t>SC06002</t>
  </si>
  <si>
    <t>SC06004</t>
  </si>
  <si>
    <t>Rail</t>
  </si>
  <si>
    <t>Clutch</t>
  </si>
  <si>
    <t>A026Y084A</t>
  </si>
  <si>
    <t>R000L171A</t>
  </si>
  <si>
    <t>SOME</t>
  </si>
  <si>
    <t>GEB</t>
  </si>
  <si>
    <t>Tracy Hu</t>
  </si>
  <si>
    <t>L3</t>
  </si>
  <si>
    <t xml:space="preserve">Current tooling can cover the capacity without additional cost </t>
  </si>
  <si>
    <t>Stamping</t>
  </si>
  <si>
    <t>Volvo V326 Front belts</t>
  </si>
  <si>
    <t>0.288Mio Euro</t>
  </si>
  <si>
    <t>1.9 Mio Euro</t>
  </si>
  <si>
    <t>0,90 Euro/pc</t>
  </si>
  <si>
    <t>0.87Mio Euro</t>
  </si>
  <si>
    <t>0.132Mio Euro</t>
  </si>
  <si>
    <t>34203361C</t>
  </si>
  <si>
    <t>RETAINER</t>
  </si>
  <si>
    <t>NA</t>
  </si>
  <si>
    <t>GCS</t>
  </si>
  <si>
    <t>Wendy Li</t>
  </si>
  <si>
    <t>Multiple
Family 8</t>
  </si>
  <si>
    <t>0,325Mio Euro</t>
  </si>
  <si>
    <t>1,14Mio Euro</t>
  </si>
  <si>
    <t>0.4249 Euro/pc</t>
  </si>
  <si>
    <t>0.3531 Euro/pc</t>
  </si>
  <si>
    <t>0.77Euro/pc</t>
  </si>
  <si>
    <t>0,84 Euro/pc</t>
  </si>
  <si>
    <t>0,723 Euro/pc</t>
  </si>
  <si>
    <t>Small parts, MX</t>
  </si>
  <si>
    <t>Approved</t>
  </si>
  <si>
    <t>Pending Offline Approval</t>
  </si>
  <si>
    <t>Pending offline PP L2 approval</t>
  </si>
  <si>
    <t>1. GCS from G.Rau (Seitz) to Small parts MX
2. CCB2 already approved, delay due to TR and tooling lead time discussion (tool lead time 20 weeks). Need to kickoff tool ASAP to catch up with the T1XX-2 SUV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</si>
</sst>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 [$€-407];\-#,##0\ [$€-407]"/>
    <numFmt numFmtId="165" formatCode="_-* #,##0\ &quot;€&quot;_-;\-* #,##0\ &quot;€&quot;_-;_-* &quot;-&quot;??\ &quot;€&quot;_-;_-@_-"/>
  </numFmts>
  <fonts count="8" x14ac:knownFonts="1">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b/>
      <sz val="8"/>
      <color rgb="FFFFFF00"/>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3">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medium">
        <color rgb="FFFFFFFF"/>
      </left>
      <right style="medium">
        <color theme="0"/>
      </right>
      <top style="medium">
        <color theme="0"/>
      </top>
      <bottom/>
      <diagonal/>
    </border>
    <border>
      <left style="medium">
        <color rgb="FFFFFFFF"/>
      </left>
      <right style="medium">
        <color theme="0"/>
      </right>
      <top/>
      <bottom/>
      <diagonal/>
    </border>
    <border>
      <left style="medium">
        <color rgb="FFFFFFFF"/>
      </left>
      <right style="medium">
        <color theme="0"/>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diagonal/>
    </border>
    <border>
      <left style="medium">
        <color theme="0"/>
      </left>
      <right style="medium">
        <color rgb="FFFFFFFF"/>
      </right>
      <top/>
      <bottom style="medium">
        <color theme="0"/>
      </bottom>
      <diagonal/>
    </border>
  </borders>
  <cellStyleXfs count="2">
    <xf numFmtId="0" fontId="0" fillId="0" borderId="0"/>
    <xf numFmtId="0" fontId="3" fillId="5" borderId="0" applyNumberFormat="0" applyBorder="0" applyAlignment="0" applyProtection="0"/>
  </cellStyleXfs>
  <cellXfs count="31">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4"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4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5" fillId="3" borderId="7" xfId="0" quotePrefix="1" applyFont="1" applyFill="1" applyBorder="1" applyAlignment="1">
      <alignment vertical="center" wrapText="1" readingOrder="1"/>
    </xf>
    <xf numFmtId="165" fontId="4" fillId="5" borderId="3" xfId="1" quotePrefix="1" applyNumberFormat="1" applyFont="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3" fontId="1" fillId="3" borderId="7" xfId="0" quotePrefix="1" applyNumberFormat="1" applyFont="1" applyFill="1" applyBorder="1" applyAlignment="1">
      <alignment horizontal="center" vertical="center" wrapText="1" readingOrder="1"/>
    </xf>
    <xf numFmtId="3" fontId="1" fillId="3" borderId="8" xfId="0" quotePrefix="1" applyNumberFormat="1" applyFont="1" applyFill="1" applyBorder="1" applyAlignment="1">
      <alignment horizontal="center" vertical="center" wrapText="1" readingOrder="1"/>
    </xf>
    <xf numFmtId="3" fontId="1" fillId="3" borderId="9" xfId="0" quotePrefix="1" applyNumberFormat="1" applyFont="1" applyFill="1" applyBorder="1" applyAlignment="1">
      <alignment horizontal="center" vertical="center" wrapText="1" readingOrder="1"/>
    </xf>
    <xf numFmtId="0" fontId="5" fillId="3" borderId="7" xfId="0" quotePrefix="1" applyFont="1" applyFill="1" applyBorder="1" applyAlignment="1">
      <alignment horizontal="center" vertical="center" wrapText="1" readingOrder="1"/>
    </xf>
    <xf numFmtId="0" fontId="5" fillId="3" borderId="8" xfId="0" quotePrefix="1" applyFont="1" applyFill="1" applyBorder="1" applyAlignment="1">
      <alignment horizontal="center" vertical="center" wrapText="1" readingOrder="1"/>
    </xf>
    <xf numFmtId="0" fontId="5" fillId="3" borderId="9" xfId="0" quotePrefix="1" applyFont="1" applyFill="1" applyBorder="1" applyAlignment="1">
      <alignment horizontal="center" vertical="center" wrapText="1" readingOrder="1"/>
    </xf>
    <xf numFmtId="0" fontId="1" fillId="3" borderId="10" xfId="0" quotePrefix="1" applyFont="1" applyFill="1" applyBorder="1" applyAlignment="1">
      <alignment horizontal="left" vertical="center" wrapText="1" readingOrder="1"/>
    </xf>
    <xf numFmtId="0" fontId="1" fillId="3" borderId="11" xfId="0" quotePrefix="1" applyFont="1" applyFill="1" applyBorder="1" applyAlignment="1">
      <alignment horizontal="left" vertical="center" wrapText="1" readingOrder="1"/>
    </xf>
    <xf numFmtId="0" fontId="1" fillId="3" borderId="12" xfId="0" quotePrefix="1" applyFont="1" applyFill="1" applyBorder="1" applyAlignment="1">
      <alignment horizontal="left" vertical="center" wrapText="1" readingOrder="1"/>
    </xf>
    <xf numFmtId="0" fontId="7" fillId="3" borderId="3" xfId="0" quotePrefix="1" applyFont="1" applyFill="1" applyBorder="1" applyAlignment="1">
      <alignment horizontal="center" vertical="center" wrapText="1" readingOrder="1"/>
    </xf>
  </cellXfs>
  <cellStyles count="2">
    <cellStyle name="Good" xfId="1" builtinId="26"/>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26"/>
  <sheetViews>
    <sheetView tabSelected="1" zoomScaleNormal="100" workbookViewId="0">
      <selection sqref="A1:Q4"/>
    </sheetView>
  </sheetViews>
  <sheetFormatPr defaultColWidth="9.109375" defaultRowHeight="14.4" x14ac:dyDescent="0.3"/>
  <cols>
    <col min="1" max="3" width="8.88671875" style="4"/>
    <col min="4" max="4" width="13.109375" style="4" customWidth="1"/>
    <col min="5" max="5" width="11.5546875" style="4" customWidth="1"/>
    <col min="6" max="6" width="11.109375" style="4" customWidth="1"/>
    <col min="7" max="7" width="20.6640625" style="4" customWidth="1"/>
    <col min="8" max="8" width="10.88671875" style="4" customWidth="1"/>
    <col min="9" max="9" width="13.88671875" style="4" customWidth="1"/>
    <col min="10" max="10" width="14.44140625" style="4" customWidth="1"/>
    <col min="11" max="11" width="10.109375" style="4" customWidth="1"/>
    <col min="12" max="12" width="9.109375" style="4"/>
    <col min="13" max="13" width="12" style="4" customWidth="1"/>
    <col min="14" max="14" width="11.33203125" style="4" customWidth="1"/>
    <col min="15" max="15" width="23.109375" style="4" customWidth="1"/>
    <col min="16" max="16" width="17.109375" style="4" customWidth="1"/>
    <col min="17" max="17" width="30.44140625" style="4" customWidth="1"/>
    <col min="18" max="18" width="12.44140625" style="4" customWidth="1"/>
    <col min="19" max="19" width="13.109375" style="4" customWidth="1"/>
    <col min="20" max="22" width="10.88671875" style="4" customWidth="1"/>
    <col min="23" max="23" width="12.109375" style="4" bestFit="1" customWidth="1"/>
    <col min="24" max="26" width="10.88671875" style="4" customWidth="1"/>
  </cols>
  <sheetData>
    <row r="1" spans="1:26" s="1" customFormat="1" ht="42.6" customHeight="1" thickBot="1" x14ac:dyDescent="0.35">
      <c r="A1" s="2" t="s">
        <v>0</v>
      </c>
      <c r="B1" s="2" t="s">
        <v>1</v>
      </c>
      <c r="C1" s="2" t="s">
        <v>2</v>
      </c>
      <c r="D1" s="2" t="s">
        <v>4</v>
      </c>
      <c r="E1" s="2" t="s">
        <v>5</v>
      </c>
      <c r="F1" s="2" t="s">
        <v>15</v>
      </c>
      <c r="G1" s="2" t="s">
        <v>9</v>
      </c>
      <c r="H1" s="2" t="s">
        <v>13</v>
      </c>
      <c r="I1" s="2" t="s">
        <v>10</v>
      </c>
      <c r="J1" s="2" t="s">
        <v>11</v>
      </c>
      <c r="K1" s="2" t="s">
        <v>6</v>
      </c>
      <c r="L1" s="2" t="s">
        <v>7</v>
      </c>
      <c r="M1" s="2" t="s">
        <v>8</v>
      </c>
      <c r="N1" s="2" t="s">
        <v>3</v>
      </c>
      <c r="O1" s="2" t="s">
        <v>25</v>
      </c>
      <c r="P1" s="2" t="s">
        <v>12</v>
      </c>
      <c r="Q1" s="2" t="s">
        <v>14</v>
      </c>
      <c r="R1" s="7" t="s">
        <v>16</v>
      </c>
      <c r="S1" s="7" t="s">
        <v>17</v>
      </c>
      <c r="T1" s="8" t="s">
        <v>18</v>
      </c>
      <c r="U1" s="8" t="s">
        <v>19</v>
      </c>
      <c r="V1" s="8" t="s">
        <v>22</v>
      </c>
      <c r="W1" s="8" t="s">
        <v>20</v>
      </c>
      <c r="X1" s="7" t="s">
        <v>23</v>
      </c>
      <c r="Y1" s="7" t="s">
        <v>21</v>
      </c>
      <c r="Z1" s="7" t="s">
        <v>24</v>
      </c>
    </row>
    <row r="2" spans="1:26" s="1" customFormat="1" ht="118.35" customHeight="1" thickBot="1" x14ac:dyDescent="0.35">
      <c r="A2" s="6">
        <v>1</v>
      </c>
      <c r="B2" s="6" t="s">
        <v>28</v>
      </c>
      <c r="C2" s="6" t="s">
        <v>26</v>
      </c>
      <c r="D2" s="6" t="s">
        <v>41</v>
      </c>
      <c r="E2" s="9" t="s">
        <v>40</v>
      </c>
      <c r="F2" s="9" t="s">
        <v>29</v>
      </c>
      <c r="G2" s="14">
        <v>110000033585</v>
      </c>
      <c r="H2" s="6" t="s">
        <v>31</v>
      </c>
      <c r="I2" s="6" t="s">
        <v>33</v>
      </c>
      <c r="J2" s="6" t="s">
        <v>35</v>
      </c>
      <c r="K2" s="9" t="s">
        <v>37</v>
      </c>
      <c r="L2" s="9" t="s">
        <v>27</v>
      </c>
      <c r="M2" s="6" t="s">
        <v>42</v>
      </c>
      <c r="N2" s="6" t="s">
        <v>43</v>
      </c>
      <c r="O2" s="12" t="s">
        <v>39</v>
      </c>
      <c r="P2" s="30" t="s">
        <v>62</v>
      </c>
      <c r="Q2" s="11" t="s">
        <v>63</v>
      </c>
      <c r="R2" s="9" t="s">
        <v>44</v>
      </c>
      <c r="S2" s="6" t="s">
        <v>57</v>
      </c>
      <c r="T2" s="9">
        <v>273862</v>
      </c>
      <c r="U2" s="9">
        <v>2464762</v>
      </c>
      <c r="V2" s="5">
        <f>(0.77-0.9)*T2</f>
        <v>-35602.06</v>
      </c>
      <c r="W2" s="5">
        <f>(0.77-0.9)*U2</f>
        <v>-320419.06</v>
      </c>
      <c r="X2" s="9">
        <v>0</v>
      </c>
      <c r="Y2" s="6">
        <v>0</v>
      </c>
      <c r="Z2" s="10">
        <v>0</v>
      </c>
    </row>
    <row r="3" spans="1:26" s="1" customFormat="1" ht="118.35" customHeight="1" thickBot="1" x14ac:dyDescent="0.35">
      <c r="A3" s="6">
        <v>1</v>
      </c>
      <c r="B3" s="6" t="s">
        <v>28</v>
      </c>
      <c r="C3" s="6" t="s">
        <v>26</v>
      </c>
      <c r="D3" s="6" t="s">
        <v>41</v>
      </c>
      <c r="E3" s="9" t="s">
        <v>40</v>
      </c>
      <c r="F3" s="9" t="s">
        <v>30</v>
      </c>
      <c r="G3" s="14">
        <v>110000032877</v>
      </c>
      <c r="H3" s="6" t="s">
        <v>32</v>
      </c>
      <c r="I3" s="6" t="s">
        <v>34</v>
      </c>
      <c r="J3" s="6" t="s">
        <v>36</v>
      </c>
      <c r="K3" s="9" t="s">
        <v>37</v>
      </c>
      <c r="L3" s="9" t="s">
        <v>38</v>
      </c>
      <c r="M3" s="6" t="s">
        <v>46</v>
      </c>
      <c r="N3" s="6" t="s">
        <v>45</v>
      </c>
      <c r="O3" s="12" t="s">
        <v>39</v>
      </c>
      <c r="P3" s="13" t="s">
        <v>61</v>
      </c>
      <c r="Q3" s="11"/>
      <c r="R3" s="9" t="s">
        <v>55</v>
      </c>
      <c r="S3" s="6" t="s">
        <v>56</v>
      </c>
      <c r="T3" s="9">
        <v>273862</v>
      </c>
      <c r="U3" s="9">
        <v>2464762</v>
      </c>
      <c r="V3" s="5">
        <f>(0.3531-0.4249)*T3</f>
        <v>-19663.291599999993</v>
      </c>
      <c r="W3" s="5">
        <f>(0.3531-0.4249)*U3</f>
        <v>-176969.91159999993</v>
      </c>
      <c r="X3" s="9">
        <v>0</v>
      </c>
      <c r="Y3" s="6">
        <v>0</v>
      </c>
      <c r="Z3" s="10">
        <v>0</v>
      </c>
    </row>
    <row r="4" spans="1:26" s="1" customFormat="1" ht="118.35" customHeight="1" thickBot="1" x14ac:dyDescent="0.35">
      <c r="A4" s="6">
        <v>2</v>
      </c>
      <c r="B4" s="6" t="s">
        <v>49</v>
      </c>
      <c r="C4" s="6" t="s">
        <v>50</v>
      </c>
      <c r="D4" s="6" t="s">
        <v>52</v>
      </c>
      <c r="E4" s="9" t="s">
        <v>40</v>
      </c>
      <c r="F4" s="9" t="s">
        <v>30</v>
      </c>
      <c r="G4" s="14">
        <v>110000031203</v>
      </c>
      <c r="H4" s="6" t="s">
        <v>48</v>
      </c>
      <c r="I4" s="6" t="s">
        <v>47</v>
      </c>
      <c r="J4" s="6" t="s">
        <v>60</v>
      </c>
      <c r="K4" s="9" t="s">
        <v>51</v>
      </c>
      <c r="L4" s="9" t="s">
        <v>38</v>
      </c>
      <c r="M4" s="9" t="s">
        <v>53</v>
      </c>
      <c r="N4" s="6" t="s">
        <v>54</v>
      </c>
      <c r="O4" s="12" t="s">
        <v>64</v>
      </c>
      <c r="P4" s="13" t="s">
        <v>61</v>
      </c>
      <c r="Q4" s="11"/>
      <c r="R4" s="9" t="s">
        <v>58</v>
      </c>
      <c r="S4" s="9" t="s">
        <v>59</v>
      </c>
      <c r="T4" s="9">
        <v>3957195</v>
      </c>
      <c r="U4" s="9">
        <v>15828781</v>
      </c>
      <c r="V4" s="5">
        <f>(0.723-0.84)*T4</f>
        <v>-462991.81499999994</v>
      </c>
      <c r="W4" s="5">
        <f>(0.723-0.84)*U4</f>
        <v>-1851967.3769999999</v>
      </c>
      <c r="X4" s="9">
        <v>0</v>
      </c>
      <c r="Y4" s="6">
        <v>71818</v>
      </c>
      <c r="Z4" s="17">
        <f>Y4-X4</f>
        <v>71818</v>
      </c>
    </row>
    <row r="5" spans="1:26" s="1" customFormat="1" ht="118.35" customHeight="1" thickBot="1" x14ac:dyDescent="0.35">
      <c r="A5" s="6"/>
      <c r="B5" s="6"/>
      <c r="C5" s="6"/>
      <c r="D5" s="6"/>
      <c r="E5" s="9"/>
      <c r="F5" s="9"/>
      <c r="G5" s="14"/>
      <c r="H5" s="6"/>
      <c r="I5" s="6"/>
      <c r="J5" s="6"/>
      <c r="K5" s="9"/>
      <c r="L5" s="9"/>
      <c r="M5" s="6"/>
      <c r="N5" s="6"/>
      <c r="O5" s="12"/>
      <c r="P5" s="13"/>
      <c r="Q5" s="11"/>
      <c r="R5" s="9"/>
      <c r="S5" s="6"/>
      <c r="T5" s="9"/>
      <c r="U5" s="9"/>
      <c r="V5" s="5"/>
      <c r="W5" s="5"/>
      <c r="X5" s="9"/>
      <c r="Y5" s="6"/>
      <c r="Z5" s="10"/>
    </row>
    <row r="6" spans="1:26" s="1" customFormat="1" ht="118.35" customHeight="1" thickBot="1" x14ac:dyDescent="0.35">
      <c r="A6" s="18"/>
      <c r="B6" s="6"/>
      <c r="C6" s="6"/>
      <c r="D6" s="6"/>
      <c r="E6" s="9"/>
      <c r="F6" s="9"/>
      <c r="G6" s="6"/>
      <c r="H6" s="6"/>
      <c r="I6" s="6"/>
      <c r="J6" s="6"/>
      <c r="K6" s="9"/>
      <c r="L6" s="21"/>
      <c r="M6" s="18"/>
      <c r="N6" s="18"/>
      <c r="O6" s="27"/>
      <c r="P6" s="24"/>
      <c r="Q6" s="11"/>
      <c r="R6" s="9"/>
      <c r="S6" s="6"/>
      <c r="T6" s="9"/>
      <c r="U6" s="9"/>
      <c r="V6" s="5"/>
      <c r="W6" s="5"/>
      <c r="X6" s="9"/>
      <c r="Y6" s="6"/>
      <c r="Z6" s="10"/>
    </row>
    <row r="7" spans="1:26" s="1" customFormat="1" ht="118.35" customHeight="1" thickBot="1" x14ac:dyDescent="0.35">
      <c r="A7" s="19"/>
      <c r="B7" s="6"/>
      <c r="C7" s="6"/>
      <c r="D7" s="6"/>
      <c r="E7" s="9"/>
      <c r="F7" s="9"/>
      <c r="G7" s="6"/>
      <c r="H7" s="6"/>
      <c r="I7" s="6"/>
      <c r="J7" s="6"/>
      <c r="K7" s="9"/>
      <c r="L7" s="22"/>
      <c r="M7" s="19"/>
      <c r="N7" s="19"/>
      <c r="O7" s="28"/>
      <c r="P7" s="25"/>
      <c r="Q7" s="11"/>
      <c r="R7" s="9"/>
      <c r="S7" s="9"/>
      <c r="T7" s="9"/>
      <c r="U7" s="9"/>
      <c r="V7" s="5"/>
      <c r="W7" s="5"/>
      <c r="X7" s="9"/>
      <c r="Y7" s="6"/>
      <c r="Z7" s="10"/>
    </row>
    <row r="8" spans="1:26" s="1" customFormat="1" ht="118.35" customHeight="1" thickBot="1" x14ac:dyDescent="0.35">
      <c r="A8" s="20"/>
      <c r="B8" s="6"/>
      <c r="C8" s="6"/>
      <c r="D8" s="6"/>
      <c r="E8" s="9"/>
      <c r="F8" s="9"/>
      <c r="G8" s="6"/>
      <c r="H8" s="6"/>
      <c r="I8" s="6"/>
      <c r="J8" s="6"/>
      <c r="K8" s="9"/>
      <c r="L8" s="23"/>
      <c r="M8" s="20"/>
      <c r="N8" s="20"/>
      <c r="O8" s="29"/>
      <c r="P8" s="26"/>
      <c r="Q8" s="11"/>
      <c r="R8" s="9"/>
      <c r="S8" s="9"/>
      <c r="T8" s="9"/>
      <c r="U8" s="9"/>
      <c r="V8" s="5"/>
      <c r="W8" s="5"/>
      <c r="X8" s="9"/>
      <c r="Y8" s="6"/>
      <c r="Z8" s="10"/>
    </row>
    <row r="9" spans="1:26" s="1" customFormat="1" ht="118.35" customHeight="1" thickBot="1" x14ac:dyDescent="0.35">
      <c r="A9" s="6"/>
      <c r="B9" s="6"/>
      <c r="C9" s="6"/>
      <c r="D9" s="6"/>
      <c r="E9" s="9"/>
      <c r="F9" s="9"/>
      <c r="G9" s="14"/>
      <c r="H9" s="6"/>
      <c r="I9" s="6"/>
      <c r="J9" s="6"/>
      <c r="K9" s="9"/>
      <c r="L9" s="9"/>
      <c r="M9" s="9"/>
      <c r="N9" s="9"/>
      <c r="O9" s="12"/>
      <c r="P9" s="16"/>
      <c r="Q9" s="11"/>
      <c r="R9" s="9"/>
      <c r="S9" s="6"/>
      <c r="T9" s="9"/>
      <c r="U9" s="9"/>
      <c r="V9" s="5"/>
      <c r="W9" s="5"/>
      <c r="X9" s="9"/>
      <c r="Y9" s="6"/>
      <c r="Z9" s="10"/>
    </row>
    <row r="10" spans="1:26" s="1" customFormat="1" ht="118.35" customHeight="1" thickBot="1" x14ac:dyDescent="0.35">
      <c r="A10" s="15"/>
      <c r="B10" s="6"/>
      <c r="C10" s="6"/>
      <c r="D10" s="6"/>
      <c r="E10" s="9"/>
      <c r="F10" s="9"/>
      <c r="G10" s="14"/>
      <c r="H10" s="6"/>
      <c r="I10" s="6"/>
      <c r="J10" s="6"/>
      <c r="K10" s="9"/>
      <c r="L10" s="9"/>
      <c r="M10" s="9"/>
      <c r="N10" s="9"/>
      <c r="O10" s="12"/>
      <c r="P10" s="16"/>
      <c r="Q10" s="11"/>
      <c r="R10" s="9"/>
      <c r="S10" s="6"/>
      <c r="T10" s="9"/>
      <c r="U10" s="9"/>
      <c r="V10" s="5"/>
      <c r="W10" s="5"/>
      <c r="X10" s="9"/>
      <c r="Y10" s="6"/>
      <c r="Z10" s="10"/>
    </row>
    <row r="11" spans="1:26" s="1" customFormat="1" ht="42.6"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s="1" customFormat="1" ht="42.6"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s="1" customFormat="1" ht="42.6"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1" customFormat="1" ht="42.6"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1" customFormat="1" ht="42.6"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1" customFormat="1" ht="42.6"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1" customFormat="1" ht="4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sheetData>
  <mergeCells count="6">
    <mergeCell ref="A6:A8"/>
    <mergeCell ref="L6:L8"/>
    <mergeCell ref="M6:M8"/>
    <mergeCell ref="N6:N8"/>
    <mergeCell ref="P6:P8"/>
    <mergeCell ref="O6:O8"/>
  </mergeCells>
  <phoneticPr fontId="6" type="noConversion"/>
  <conditionalFormatting sqref="V1 Z1:Z1048576 V11:V1048576">
    <cfRule type="cellIs" dxfId="3" priority="64" operator="lessThan">
      <formula>0</formula>
    </cfRule>
  </conditionalFormatting>
  <conditionalFormatting sqref="V2:W10">
    <cfRule type="cellIs" dxfId="2" priority="1" operator="greaterThan">
      <formula>0</formula>
    </cfRule>
    <cfRule type="cellIs" dxfId="1" priority="2" operator="lessThan">
      <formula>0</formula>
    </cfRule>
  </conditionalFormatting>
  <conditionalFormatting sqref="Z2:Z10">
    <cfRule type="cellIs" dxfId="0" priority="13"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E886D5-C56A-4014-926E-5920D967A38C}"/>
</file>

<file path=customXml/itemProps2.xml><?xml version="1.0" encoding="utf-8"?>
<ds:datastoreItem xmlns:ds="http://schemas.openxmlformats.org/officeDocument/2006/customXml" ds:itemID="{06B4C53B-D17A-4925-B086-11E90F168E2A}"/>
</file>

<file path=customXml/itemProps3.xml><?xml version="1.0" encoding="utf-8"?>
<ds:datastoreItem xmlns:ds="http://schemas.openxmlformats.org/officeDocument/2006/customXml" ds:itemID="{3FF195BF-52D5-40DD-B5E1-B075814E6D9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KW14, 2026</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2026-04-01T11:24:30Z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ies>
</file>