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09, 25.02.2026/"/>
    </mc:Choice>
  </mc:AlternateContent>
  <xr:revisionPtr revIDLastSave="0" documentId="8_{95288C61-9649-4528-B6E7-8D543ADDD58A}" xr6:coauthVersionLast="47" xr6:coauthVersionMax="47" xr10:uidLastSave="{00000000-0000-0000-0000-000000000000}"/>
  <bookViews>
    <workbookView xWindow="28680" yWindow="-120" windowWidth="29040" windowHeight="15720" xr2:uid="{00000000-000D-0000-FFFF-FFFF00000000}"/>
  </bookViews>
  <sheets>
    <sheet name="KW05, 2026" sheetId="4" r:id="rId1"/>
  </sheets>
  <calcPr calcId="191029"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 i="4" l="1"/>
  <c r="V11" i="4"/>
  <c r="W10" i="4"/>
  <c r="V10" i="4"/>
  <c r="Z11" i="4"/>
  <c r="Z10" i="4"/>
  <c r="Z9" i="4"/>
  <c r="Z7" i="4"/>
  <c r="Z8" i="4"/>
  <c r="Z4" i="4"/>
  <c r="W4" i="4"/>
  <c r="V4" i="4"/>
  <c r="Z6" i="4"/>
  <c r="W6" i="4"/>
  <c r="V6" i="4"/>
  <c r="Z5" i="4"/>
  <c r="W5" i="4"/>
  <c r="V5" i="4"/>
  <c r="Z3" i="4"/>
  <c r="W3" i="4"/>
  <c r="V3" i="4"/>
  <c r="Z2" i="4"/>
  <c r="W2" i="4"/>
  <c r="V2" i="4"/>
</calcChain>
</file>

<file path=xl/sharedStrings.xml><?xml version="1.0" encoding="utf-8"?>
<sst xmlns="http://schemas.openxmlformats.org/spreadsheetml/2006/main" count="176" uniqueCount="119">
  <si>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</si>
  <si>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</si>
  <si>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</si>
  <si>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</si>
  <si>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</si>
  <si>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</si>
  <si>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</si>
  <si>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</si>
  <si>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</si>
  <si>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</si>
  <si>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</si>
  <si>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</si>
  <si>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</si>
  <si>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</si>
  <si>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</si>
  <si>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</si>
  <si>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</si>
  <si>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</si>
  <si>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</si>
  <si>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</si>
  <si>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</si>
  <si>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</si>
  <si>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</si>
  <si>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</si>
  <si>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</si>
  <si>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</si>
  <si>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AP</t>
  </si>
  <si>
    <t>BR167</t>
  </si>
  <si>
    <t>EL 02</t>
  </si>
  <si>
    <t>ECU</t>
  </si>
  <si>
    <t>34283705M</t>
  </si>
  <si>
    <t>Melisa Bouzo</t>
  </si>
  <si>
    <t>Carry Over</t>
  </si>
  <si>
    <t>CMP 21 D</t>
  </si>
  <si>
    <t>New Part</t>
  </si>
  <si>
    <t>R003E707A</t>
  </si>
  <si>
    <t>1,03 Mio Euro
8,15 Mio RMB</t>
  </si>
  <si>
    <t>4,74 Mio Euro
37,43 Mio RMB</t>
  </si>
  <si>
    <t>9,93 Euro/pc
78,43 RMB/pc</t>
  </si>
  <si>
    <t>9,95 Euro/pc
78,63 RMB/pc</t>
  </si>
  <si>
    <t>3,56 Mio Euro
28,14 Mio RMB</t>
  </si>
  <si>
    <t>8,48 Euro/pc
67,00 RMB/pc</t>
  </si>
  <si>
    <t>8,44 Euro/pc
66,69 RMB/pc</t>
  </si>
  <si>
    <t>EU</t>
  </si>
  <si>
    <t>Volvo V326 Rear</t>
  </si>
  <si>
    <t>MI 01</t>
  </si>
  <si>
    <t>MI01003
Micro Gas Generators (MGG)</t>
  </si>
  <si>
    <t>EL02002
ECU Build to Print</t>
  </si>
  <si>
    <t>MGG AK2 Code:II Light green</t>
  </si>
  <si>
    <t>34364260A</t>
  </si>
  <si>
    <t>Kayaku Safety Systems Europe a.s.</t>
  </si>
  <si>
    <t>USI CN</t>
  </si>
  <si>
    <t>DIAS CN</t>
  </si>
  <si>
    <t>3,10 Mio Euro</t>
  </si>
  <si>
    <t>1,1875 Euro/pc</t>
  </si>
  <si>
    <t>1. Carryover case – part running in AP ZJG – SPR8 MGG
2. Pricing is volume based; landed price is most competitive to inhouse Aschau 
3. Current supplier KSE: 
-	TISAX available
-	Consignment installed
-	PT 90 days</t>
  </si>
  <si>
    <t>Approved in KW07, offline</t>
  </si>
  <si>
    <t>34320073C</t>
  </si>
  <si>
    <t>SPR8 SLL Future</t>
  </si>
  <si>
    <t>GCS</t>
  </si>
  <si>
    <t>FF 01</t>
  </si>
  <si>
    <t>FF01017
Special Gear</t>
  </si>
  <si>
    <t>Sunil SFS Intec Automotive Parts, CN</t>
  </si>
  <si>
    <t>Yajun Zhao</t>
  </si>
  <si>
    <t>0,2911 Euro/pc
2,3 RMB/pc</t>
  </si>
  <si>
    <t>0,2506 Euro/pc
1,980 RMB/pc</t>
  </si>
  <si>
    <t xml:space="preserve">TORSION-BAR, RETRACTOR
(8.0mm) </t>
  </si>
  <si>
    <t>Marzena Janus</t>
  </si>
  <si>
    <t>L2</t>
  </si>
  <si>
    <t>L4</t>
  </si>
  <si>
    <t xml:space="preserve">1. aligned with SPR8 team
2. Geely project as lead project for VAVE CCB2 approval for localized SPR8 SLL torsion (8.0mm) implement.
3. Daimler V530 as potential new project.
4. Recommend Sunil SFS with China local C4C raw material. </t>
  </si>
  <si>
    <t>R003E827A</t>
  </si>
  <si>
    <t>GAC F05</t>
  </si>
  <si>
    <t>L3</t>
  </si>
  <si>
    <t>8,47 Euro/pc
66,95 RMB/pc</t>
  </si>
  <si>
    <t>8,41 Euro/pc
66,43 RMB/pc</t>
  </si>
  <si>
    <t>EL02003
ECU Build to Spec</t>
  </si>
  <si>
    <t>B/2026/00035
110000034425</t>
  </si>
  <si>
    <t>B/2026/00035
110000034426</t>
  </si>
  <si>
    <t>B/2026/00035
110000034424</t>
  </si>
  <si>
    <t>FF01013
Miscellaneous Fasteners</t>
  </si>
  <si>
    <t>RIVET</t>
  </si>
  <si>
    <t>34119451C</t>
  </si>
  <si>
    <t>34119450B</t>
  </si>
  <si>
    <t>33041717A</t>
  </si>
  <si>
    <t>Ritai (Shanghai) Auto Standard</t>
  </si>
  <si>
    <t>Approved in KW09, offline</t>
  </si>
  <si>
    <t>Mercedes MRA2
Family 8</t>
  </si>
  <si>
    <t>Geely E245 as lead project to develop family 8 rivet with China local
supplier (Shanghai Ritai).
• VAVE CCB2 approval to implement Shanghai Ritai in Mercedes MRA2
project.
• Only Mercedes MRA2 project will implement the
change, remaining projects will keep staying with current supplier.</t>
  </si>
  <si>
    <t>0,02949 Euro/pc
0,233 RMB/pc</t>
  </si>
  <si>
    <t>0,02152 Euro/pc
0,170 RMB/pc</t>
  </si>
  <si>
    <t>0,01747 Euro/pc
0,138 RMB/pc</t>
  </si>
  <si>
    <t>Lucid SPR8</t>
  </si>
  <si>
    <t>Buffer Disc Assembly</t>
  </si>
  <si>
    <t>Spring Assembly</t>
  </si>
  <si>
    <t>R003Y429A</t>
  </si>
  <si>
    <t>R002P311A</t>
  </si>
  <si>
    <t>Zhuhai Power Spring Inc.</t>
  </si>
  <si>
    <t>Mihael Baldi</t>
  </si>
  <si>
    <t>SC03002
Assembled Springs</t>
  </si>
  <si>
    <t>0,33 Euro/pc
2,59 RMB/pc</t>
  </si>
  <si>
    <t>0,30 Euro/pc
2,39 RMB/pc</t>
  </si>
  <si>
    <t>0,38 Euro/pc
3,02 RMB/pc</t>
  </si>
  <si>
    <t>597 K Euro
4,72 Mio RMB</t>
  </si>
  <si>
    <t>249 K Euro
1,97 Mio RMB</t>
  </si>
  <si>
    <t>996 K Euro
7.87 Mio RMB</t>
  </si>
  <si>
    <t>439 K Euro</t>
  </si>
  <si>
    <t>119 K Euro
941 K RMB</t>
  </si>
  <si>
    <t>502 K Euro
3,97 Mio RMB</t>
  </si>
  <si>
    <t>213 K Euro 
1,69 Mio RMB</t>
  </si>
  <si>
    <t>71 K Euro
563 K RMB</t>
  </si>
  <si>
    <t>SC 03</t>
  </si>
  <si>
    <t>67K Euro
531K RMB</t>
  </si>
  <si>
    <t>445K Euro
3,5Mio RMB</t>
  </si>
  <si>
    <t>85K Euro
670K RMB</t>
  </si>
  <si>
    <t>562K Euro
4,4Mio RMB</t>
  </si>
  <si>
    <t>Approved</t>
  </si>
  <si>
    <t>tooling to be paid in amortization</t>
  </si>
  <si>
    <t>Lower cost design from DIAS available, with that we could have a chance to achieve CQA.
Re-validation efforts and timing evaluated by PM, decision to not do the validation for this project, due to limited volume.
To be re-evaluated in case of volume increase.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</si>
</sst>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 [$€-407];\-#,##0\ [$€-407]"/>
  </numFmts>
  <fonts count="7"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2">
    <xf numFmtId="0" fontId="0" fillId="0" borderId="0"/>
    <xf numFmtId="0" fontId="3" fillId="5" borderId="0" applyNumberFormat="0" applyBorder="0" applyAlignment="0" applyProtection="0"/>
  </cellStyleXfs>
  <cellXfs count="29">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0" fontId="1" fillId="3" borderId="4"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3" fontId="1" fillId="3" borderId="9" xfId="0" quotePrefix="1" applyNumberFormat="1" applyFont="1" applyFill="1" applyBorder="1" applyAlignment="1">
      <alignment horizontal="center" vertical="center" wrapText="1" readingOrder="1"/>
    </xf>
    <xf numFmtId="0" fontId="5" fillId="3" borderId="7" xfId="0" quotePrefix="1" applyFont="1" applyFill="1" applyBorder="1" applyAlignment="1">
      <alignment horizontal="center" vertical="center" wrapText="1" readingOrder="1"/>
    </xf>
    <xf numFmtId="0" fontId="5" fillId="3" borderId="8" xfId="0" quotePrefix="1" applyFont="1" applyFill="1" applyBorder="1" applyAlignment="1">
      <alignment horizontal="center" vertical="center" wrapText="1" readingOrder="1"/>
    </xf>
    <xf numFmtId="0" fontId="5"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1" fillId="3" borderId="12" xfId="0" quotePrefix="1" applyFont="1" applyFill="1" applyBorder="1" applyAlignment="1">
      <alignment horizontal="left" vertical="center" wrapText="1" readingOrder="1"/>
    </xf>
  </cellXfs>
  <cellStyles count="2">
    <cellStyle name="Good" xfId="1" builtinId="26"/>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27"/>
  <sheetViews>
    <sheetView tabSelected="1" zoomScaleNormal="100" workbookViewId="0">
      <selection sqref="A1:P11"/>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0.88671875" style="4" customWidth="1"/>
    <col min="9" max="9" width="13.88671875" style="4" customWidth="1"/>
    <col min="10" max="10" width="14.44140625" style="4" customWidth="1"/>
    <col min="11" max="11" width="10.109375" style="4" customWidth="1"/>
    <col min="12" max="12" width="9.109375" style="4"/>
    <col min="13" max="13" width="12" style="4" customWidth="1"/>
    <col min="14" max="14" width="11.33203125" style="4" customWidth="1"/>
    <col min="15" max="15" width="23.109375" style="4" customWidth="1"/>
    <col min="16" max="16" width="17.109375" style="4" customWidth="1"/>
    <col min="17" max="17" width="30.44140625" style="4" customWidth="1"/>
    <col min="18" max="18" width="12.44140625" style="4" customWidth="1"/>
    <col min="19" max="19" width="13.109375" style="4" customWidth="1"/>
    <col min="20" max="22" width="10.88671875" style="4"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118.35" customHeight="1" thickBot="1" x14ac:dyDescent="0.35">
      <c r="A2" s="6">
        <v>1</v>
      </c>
      <c r="B2" s="6" t="s">
        <v>26</v>
      </c>
      <c r="C2" s="6" t="s">
        <v>32</v>
      </c>
      <c r="D2" s="6" t="s">
        <v>27</v>
      </c>
      <c r="E2" s="9" t="s">
        <v>28</v>
      </c>
      <c r="F2" s="9" t="s">
        <v>47</v>
      </c>
      <c r="G2" s="14">
        <v>110000030562</v>
      </c>
      <c r="H2" s="6" t="s">
        <v>29</v>
      </c>
      <c r="I2" s="6" t="s">
        <v>30</v>
      </c>
      <c r="J2" s="6" t="s">
        <v>51</v>
      </c>
      <c r="K2" s="9" t="s">
        <v>31</v>
      </c>
      <c r="L2" s="9" t="s">
        <v>68</v>
      </c>
      <c r="M2" s="6" t="s">
        <v>36</v>
      </c>
      <c r="N2" s="6" t="s">
        <v>37</v>
      </c>
      <c r="O2" s="12" t="s">
        <v>117</v>
      </c>
      <c r="P2" s="13" t="s">
        <v>116</v>
      </c>
      <c r="Q2" s="11"/>
      <c r="R2" s="9" t="s">
        <v>38</v>
      </c>
      <c r="S2" s="6" t="s">
        <v>39</v>
      </c>
      <c r="T2" s="9">
        <v>68000</v>
      </c>
      <c r="U2" s="9">
        <v>476000</v>
      </c>
      <c r="V2" s="5">
        <f>(9.95-9.93)*68000</f>
        <v>1359.9999999999709</v>
      </c>
      <c r="W2" s="5">
        <f>(9.95-9.93)*476000</f>
        <v>9519.9999999997963</v>
      </c>
      <c r="X2" s="9">
        <v>0</v>
      </c>
      <c r="Y2" s="6">
        <v>0</v>
      </c>
      <c r="Z2" s="10">
        <f t="shared" ref="Z2:Z11" si="0">Y2-X2</f>
        <v>0</v>
      </c>
    </row>
    <row r="3" spans="1:26" s="1" customFormat="1" ht="118.35" customHeight="1" thickBot="1" x14ac:dyDescent="0.35">
      <c r="A3" s="6">
        <v>2</v>
      </c>
      <c r="B3" s="6" t="s">
        <v>26</v>
      </c>
      <c r="C3" s="6" t="s">
        <v>32</v>
      </c>
      <c r="D3" s="6" t="s">
        <v>33</v>
      </c>
      <c r="E3" s="9" t="s">
        <v>28</v>
      </c>
      <c r="F3" s="9" t="s">
        <v>76</v>
      </c>
      <c r="G3" s="14">
        <v>110000032652</v>
      </c>
      <c r="H3" s="6" t="s">
        <v>29</v>
      </c>
      <c r="I3" s="6" t="s">
        <v>35</v>
      </c>
      <c r="J3" s="6" t="s">
        <v>52</v>
      </c>
      <c r="K3" s="9" t="s">
        <v>31</v>
      </c>
      <c r="L3" s="9" t="s">
        <v>68</v>
      </c>
      <c r="M3" s="6" t="s">
        <v>103</v>
      </c>
      <c r="N3" s="6" t="s">
        <v>40</v>
      </c>
      <c r="O3" s="12"/>
      <c r="P3" s="13" t="s">
        <v>116</v>
      </c>
      <c r="Q3" s="11"/>
      <c r="R3" s="9" t="s">
        <v>41</v>
      </c>
      <c r="S3" s="6" t="s">
        <v>42</v>
      </c>
      <c r="T3" s="9">
        <v>46891</v>
      </c>
      <c r="U3" s="9">
        <v>422015</v>
      </c>
      <c r="V3" s="5">
        <f>(8.44-8.47)*46891</f>
        <v>-1406.7300000000532</v>
      </c>
      <c r="W3" s="5">
        <f>(8.44-8.48)*422015</f>
        <v>-16880.600000000391</v>
      </c>
      <c r="X3" s="9">
        <v>0</v>
      </c>
      <c r="Y3" s="6">
        <v>0</v>
      </c>
      <c r="Z3" s="10">
        <f t="shared" si="0"/>
        <v>0</v>
      </c>
    </row>
    <row r="4" spans="1:26" s="1" customFormat="1" ht="118.35" customHeight="1" thickBot="1" x14ac:dyDescent="0.35">
      <c r="A4" s="6">
        <v>3</v>
      </c>
      <c r="B4" s="6" t="s">
        <v>26</v>
      </c>
      <c r="C4" s="6" t="s">
        <v>32</v>
      </c>
      <c r="D4" s="6" t="s">
        <v>72</v>
      </c>
      <c r="E4" s="9" t="s">
        <v>28</v>
      </c>
      <c r="F4" s="9" t="s">
        <v>76</v>
      </c>
      <c r="G4" s="14">
        <v>110000033372</v>
      </c>
      <c r="H4" s="6" t="s">
        <v>29</v>
      </c>
      <c r="I4" s="6" t="s">
        <v>71</v>
      </c>
      <c r="J4" s="6" t="s">
        <v>52</v>
      </c>
      <c r="K4" s="9" t="s">
        <v>31</v>
      </c>
      <c r="L4" s="9" t="s">
        <v>73</v>
      </c>
      <c r="M4" s="6" t="s">
        <v>104</v>
      </c>
      <c r="N4" s="6" t="s">
        <v>105</v>
      </c>
      <c r="O4" s="12" t="s">
        <v>118</v>
      </c>
      <c r="P4" s="13" t="s">
        <v>116</v>
      </c>
      <c r="Q4" s="11"/>
      <c r="R4" s="9" t="s">
        <v>75</v>
      </c>
      <c r="S4" s="6" t="s">
        <v>74</v>
      </c>
      <c r="T4" s="9">
        <v>23520</v>
      </c>
      <c r="U4" s="9">
        <v>117600</v>
      </c>
      <c r="V4" s="5">
        <f>(8.47-8.41)*23520</f>
        <v>1411.2000000000116</v>
      </c>
      <c r="W4" s="5">
        <f>(8.47-8.41)*11760</f>
        <v>705.60000000000582</v>
      </c>
      <c r="X4" s="9">
        <v>0</v>
      </c>
      <c r="Y4" s="6">
        <v>0</v>
      </c>
      <c r="Z4" s="10">
        <f t="shared" si="0"/>
        <v>0</v>
      </c>
    </row>
    <row r="5" spans="1:26" s="1" customFormat="1" ht="118.35" customHeight="1" thickBot="1" x14ac:dyDescent="0.35">
      <c r="A5" s="6">
        <v>4</v>
      </c>
      <c r="B5" s="6" t="s">
        <v>43</v>
      </c>
      <c r="C5" s="6" t="s">
        <v>32</v>
      </c>
      <c r="D5" s="6" t="s">
        <v>44</v>
      </c>
      <c r="E5" s="9" t="s">
        <v>45</v>
      </c>
      <c r="F5" s="9" t="s">
        <v>46</v>
      </c>
      <c r="G5" s="14">
        <v>110000034187</v>
      </c>
      <c r="H5" s="6" t="s">
        <v>48</v>
      </c>
      <c r="I5" s="6" t="s">
        <v>49</v>
      </c>
      <c r="J5" s="6" t="s">
        <v>50</v>
      </c>
      <c r="K5" s="9" t="s">
        <v>67</v>
      </c>
      <c r="L5" s="9" t="s">
        <v>68</v>
      </c>
      <c r="M5" s="6" t="s">
        <v>106</v>
      </c>
      <c r="N5" s="6" t="s">
        <v>53</v>
      </c>
      <c r="O5" s="12" t="s">
        <v>55</v>
      </c>
      <c r="P5" s="13" t="s">
        <v>56</v>
      </c>
      <c r="Q5" s="11"/>
      <c r="R5" s="9" t="s">
        <v>54</v>
      </c>
      <c r="S5" s="9" t="s">
        <v>54</v>
      </c>
      <c r="T5" s="9">
        <v>288889</v>
      </c>
      <c r="U5" s="9">
        <v>2600000</v>
      </c>
      <c r="V5" s="5">
        <f>(1.1875-1.1875)*288889</f>
        <v>0</v>
      </c>
      <c r="W5" s="5">
        <f>(1.1875-1.1875)*2600000</f>
        <v>0</v>
      </c>
      <c r="X5" s="9">
        <v>0</v>
      </c>
      <c r="Y5" s="6">
        <v>0</v>
      </c>
      <c r="Z5" s="10">
        <f t="shared" si="0"/>
        <v>0</v>
      </c>
    </row>
    <row r="6" spans="1:26" s="1" customFormat="1" ht="118.35" customHeight="1" thickBot="1" x14ac:dyDescent="0.35">
      <c r="A6" s="6">
        <v>5</v>
      </c>
      <c r="B6" s="6" t="s">
        <v>26</v>
      </c>
      <c r="C6" s="6" t="s">
        <v>59</v>
      </c>
      <c r="D6" s="6" t="s">
        <v>58</v>
      </c>
      <c r="E6" s="9" t="s">
        <v>60</v>
      </c>
      <c r="F6" s="9" t="s">
        <v>61</v>
      </c>
      <c r="G6" s="14">
        <v>110000032852</v>
      </c>
      <c r="H6" s="6" t="s">
        <v>66</v>
      </c>
      <c r="I6" s="6" t="s">
        <v>57</v>
      </c>
      <c r="J6" s="6" t="s">
        <v>62</v>
      </c>
      <c r="K6" s="9" t="s">
        <v>63</v>
      </c>
      <c r="L6" s="9" t="s">
        <v>69</v>
      </c>
      <c r="M6" s="6" t="s">
        <v>107</v>
      </c>
      <c r="N6" s="6" t="s">
        <v>108</v>
      </c>
      <c r="O6" s="12" t="s">
        <v>70</v>
      </c>
      <c r="P6" s="13" t="s">
        <v>56</v>
      </c>
      <c r="Q6" s="11"/>
      <c r="R6" s="9" t="s">
        <v>64</v>
      </c>
      <c r="S6" s="6" t="s">
        <v>65</v>
      </c>
      <c r="T6" s="9">
        <v>286215</v>
      </c>
      <c r="U6" s="9">
        <v>2003506</v>
      </c>
      <c r="V6" s="5">
        <f>(0.2506-0.2911)*286215</f>
        <v>-11591.70750000001</v>
      </c>
      <c r="W6" s="5">
        <f>(0.2506-0.2911)*2003506</f>
        <v>-81141.993000000075</v>
      </c>
      <c r="X6" s="9">
        <v>0</v>
      </c>
      <c r="Y6" s="6">
        <v>0</v>
      </c>
      <c r="Z6" s="10">
        <f t="shared" si="0"/>
        <v>0</v>
      </c>
    </row>
    <row r="7" spans="1:26" s="1" customFormat="1" ht="118.35" customHeight="1" thickBot="1" x14ac:dyDescent="0.35">
      <c r="A7" s="17">
        <v>6</v>
      </c>
      <c r="B7" s="6" t="s">
        <v>26</v>
      </c>
      <c r="C7" s="6" t="s">
        <v>59</v>
      </c>
      <c r="D7" s="6" t="s">
        <v>87</v>
      </c>
      <c r="E7" s="9" t="s">
        <v>60</v>
      </c>
      <c r="F7" s="9" t="s">
        <v>80</v>
      </c>
      <c r="G7" s="6" t="s">
        <v>79</v>
      </c>
      <c r="H7" s="6" t="s">
        <v>81</v>
      </c>
      <c r="I7" s="6" t="s">
        <v>84</v>
      </c>
      <c r="J7" s="6" t="s">
        <v>85</v>
      </c>
      <c r="K7" s="9" t="s">
        <v>63</v>
      </c>
      <c r="L7" s="20" t="s">
        <v>69</v>
      </c>
      <c r="M7" s="17" t="s">
        <v>110</v>
      </c>
      <c r="N7" s="17" t="s">
        <v>109</v>
      </c>
      <c r="O7" s="26" t="s">
        <v>88</v>
      </c>
      <c r="P7" s="23" t="s">
        <v>86</v>
      </c>
      <c r="Q7" s="11"/>
      <c r="R7" s="9" t="s">
        <v>90</v>
      </c>
      <c r="S7" s="6" t="s">
        <v>90</v>
      </c>
      <c r="T7" s="9">
        <v>781277</v>
      </c>
      <c r="U7" s="9">
        <v>3906384</v>
      </c>
      <c r="V7" s="5"/>
      <c r="W7" s="5"/>
      <c r="X7" s="9">
        <v>0</v>
      </c>
      <c r="Y7" s="6">
        <v>0</v>
      </c>
      <c r="Z7" s="10">
        <f t="shared" si="0"/>
        <v>0</v>
      </c>
    </row>
    <row r="8" spans="1:26" s="1" customFormat="1" ht="118.35" customHeight="1" thickBot="1" x14ac:dyDescent="0.35">
      <c r="A8" s="18"/>
      <c r="B8" s="6" t="s">
        <v>26</v>
      </c>
      <c r="C8" s="6" t="s">
        <v>59</v>
      </c>
      <c r="D8" s="6" t="s">
        <v>87</v>
      </c>
      <c r="E8" s="9" t="s">
        <v>60</v>
      </c>
      <c r="F8" s="9" t="s">
        <v>80</v>
      </c>
      <c r="G8" s="6" t="s">
        <v>77</v>
      </c>
      <c r="H8" s="6" t="s">
        <v>81</v>
      </c>
      <c r="I8" s="6" t="s">
        <v>83</v>
      </c>
      <c r="J8" s="6" t="s">
        <v>85</v>
      </c>
      <c r="K8" s="9" t="s">
        <v>63</v>
      </c>
      <c r="L8" s="21"/>
      <c r="M8" s="18"/>
      <c r="N8" s="18"/>
      <c r="O8" s="27"/>
      <c r="P8" s="24"/>
      <c r="Q8" s="11"/>
      <c r="R8" s="9" t="s">
        <v>89</v>
      </c>
      <c r="S8" s="9" t="s">
        <v>89</v>
      </c>
      <c r="T8" s="9">
        <v>260426</v>
      </c>
      <c r="U8" s="9">
        <v>1302128</v>
      </c>
      <c r="V8" s="5"/>
      <c r="W8" s="5"/>
      <c r="X8" s="9">
        <v>0</v>
      </c>
      <c r="Y8" s="6">
        <v>0</v>
      </c>
      <c r="Z8" s="10">
        <f t="shared" si="0"/>
        <v>0</v>
      </c>
    </row>
    <row r="9" spans="1:26" s="1" customFormat="1" ht="118.35" customHeight="1" thickBot="1" x14ac:dyDescent="0.35">
      <c r="A9" s="19"/>
      <c r="B9" s="6" t="s">
        <v>26</v>
      </c>
      <c r="C9" s="6" t="s">
        <v>59</v>
      </c>
      <c r="D9" s="6" t="s">
        <v>87</v>
      </c>
      <c r="E9" s="9" t="s">
        <v>60</v>
      </c>
      <c r="F9" s="9" t="s">
        <v>80</v>
      </c>
      <c r="G9" s="6" t="s">
        <v>78</v>
      </c>
      <c r="H9" s="6" t="s">
        <v>81</v>
      </c>
      <c r="I9" s="6" t="s">
        <v>82</v>
      </c>
      <c r="J9" s="6" t="s">
        <v>85</v>
      </c>
      <c r="K9" s="9" t="s">
        <v>63</v>
      </c>
      <c r="L9" s="22"/>
      <c r="M9" s="19"/>
      <c r="N9" s="19"/>
      <c r="O9" s="28"/>
      <c r="P9" s="25"/>
      <c r="Q9" s="11"/>
      <c r="R9" s="9" t="s">
        <v>91</v>
      </c>
      <c r="S9" s="9" t="s">
        <v>91</v>
      </c>
      <c r="T9" s="9">
        <v>1041702</v>
      </c>
      <c r="U9" s="9">
        <v>5208512</v>
      </c>
      <c r="V9" s="5"/>
      <c r="W9" s="5"/>
      <c r="X9" s="9">
        <v>0</v>
      </c>
      <c r="Y9" s="6">
        <v>0</v>
      </c>
      <c r="Z9" s="10">
        <f t="shared" si="0"/>
        <v>0</v>
      </c>
    </row>
    <row r="10" spans="1:26" s="1" customFormat="1" ht="118.35" customHeight="1" thickBot="1" x14ac:dyDescent="0.35">
      <c r="A10" s="6">
        <v>7</v>
      </c>
      <c r="B10" s="6" t="s">
        <v>26</v>
      </c>
      <c r="C10" s="6" t="s">
        <v>34</v>
      </c>
      <c r="D10" s="6" t="s">
        <v>92</v>
      </c>
      <c r="E10" s="9" t="s">
        <v>111</v>
      </c>
      <c r="F10" s="9" t="s">
        <v>99</v>
      </c>
      <c r="G10" s="14">
        <v>110000033104</v>
      </c>
      <c r="H10" s="6" t="s">
        <v>93</v>
      </c>
      <c r="I10" s="6" t="s">
        <v>95</v>
      </c>
      <c r="J10" s="6" t="s">
        <v>97</v>
      </c>
      <c r="K10" s="9" t="s">
        <v>98</v>
      </c>
      <c r="L10" s="9" t="s">
        <v>69</v>
      </c>
      <c r="M10" s="9" t="s">
        <v>112</v>
      </c>
      <c r="N10" s="9" t="s">
        <v>113</v>
      </c>
      <c r="O10" s="12"/>
      <c r="P10" s="16" t="s">
        <v>86</v>
      </c>
      <c r="Q10" s="11"/>
      <c r="R10" s="9" t="s">
        <v>100</v>
      </c>
      <c r="S10" s="6" t="s">
        <v>101</v>
      </c>
      <c r="T10" s="9">
        <v>183855</v>
      </c>
      <c r="U10" s="9">
        <v>1470840</v>
      </c>
      <c r="V10" s="5">
        <f>(0.3-0.33)*T10</f>
        <v>-5515.6500000000051</v>
      </c>
      <c r="W10" s="5">
        <f>(0.3-0.33)*U10</f>
        <v>-44125.200000000041</v>
      </c>
      <c r="X10" s="9">
        <v>0</v>
      </c>
      <c r="Y10" s="6">
        <v>0</v>
      </c>
      <c r="Z10" s="10">
        <f t="shared" si="0"/>
        <v>0</v>
      </c>
    </row>
    <row r="11" spans="1:26" s="1" customFormat="1" ht="118.35" customHeight="1" thickBot="1" x14ac:dyDescent="0.35">
      <c r="A11" s="15">
        <v>8</v>
      </c>
      <c r="B11" s="6" t="s">
        <v>26</v>
      </c>
      <c r="C11" s="6" t="s">
        <v>34</v>
      </c>
      <c r="D11" s="6" t="s">
        <v>92</v>
      </c>
      <c r="E11" s="9" t="s">
        <v>111</v>
      </c>
      <c r="F11" s="9" t="s">
        <v>99</v>
      </c>
      <c r="G11" s="14">
        <v>110000033102</v>
      </c>
      <c r="H11" s="6" t="s">
        <v>94</v>
      </c>
      <c r="I11" s="6" t="s">
        <v>96</v>
      </c>
      <c r="J11" s="6" t="s">
        <v>97</v>
      </c>
      <c r="K11" s="9" t="s">
        <v>98</v>
      </c>
      <c r="L11" s="9" t="s">
        <v>69</v>
      </c>
      <c r="M11" s="9" t="s">
        <v>114</v>
      </c>
      <c r="N11" s="9" t="s">
        <v>115</v>
      </c>
      <c r="O11" s="12"/>
      <c r="P11" s="16" t="s">
        <v>86</v>
      </c>
      <c r="Q11" s="11"/>
      <c r="R11" s="9" t="s">
        <v>102</v>
      </c>
      <c r="S11" s="6" t="s">
        <v>102</v>
      </c>
      <c r="T11" s="9">
        <v>183855</v>
      </c>
      <c r="U11" s="9">
        <v>1470840</v>
      </c>
      <c r="V11" s="5">
        <f>(0.38-0.38)*T11</f>
        <v>0</v>
      </c>
      <c r="W11" s="5">
        <f>(0.38-0.38)*U11</f>
        <v>0</v>
      </c>
      <c r="X11" s="9">
        <v>0</v>
      </c>
      <c r="Y11" s="6">
        <v>0</v>
      </c>
      <c r="Z11" s="10">
        <f t="shared" si="0"/>
        <v>0</v>
      </c>
    </row>
    <row r="12" spans="1:26" s="1" customFormat="1" ht="42.6"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1" customFormat="1" ht="42.6"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1" customFormat="1" ht="42.6"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1" customFormat="1" ht="42.6"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sheetData>
  <mergeCells count="6">
    <mergeCell ref="A7:A9"/>
    <mergeCell ref="L7:L9"/>
    <mergeCell ref="M7:M9"/>
    <mergeCell ref="N7:N9"/>
    <mergeCell ref="P7:P9"/>
    <mergeCell ref="O7:O9"/>
  </mergeCells>
  <phoneticPr fontId="6" type="noConversion"/>
  <conditionalFormatting sqref="V1 Z1:Z1048576 V12:V1048576">
    <cfRule type="cellIs" dxfId="3" priority="64" operator="lessThan">
      <formula>0</formula>
    </cfRule>
  </conditionalFormatting>
  <conditionalFormatting sqref="V2:W11">
    <cfRule type="cellIs" dxfId="2" priority="1" operator="greaterThan">
      <formula>0</formula>
    </cfRule>
    <cfRule type="cellIs" dxfId="1" priority="2" operator="lessThan">
      <formula>0</formula>
    </cfRule>
  </conditionalFormatting>
  <conditionalFormatting sqref="Z2:Z11">
    <cfRule type="cellIs" dxfId="0" priority="13" operator="greaterThan">
      <formula>0</formula>
    </cfRule>
  </conditionalFormatting>
  <pageMargins left="0.7" right="0.7" top="0.75" bottom="0.75" header="0.3" footer="0.3"/>
  <pageSetup orientation="portrait"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501A33-29FD-400F-A19D-051667530EA5}"/>
</file>

<file path=customXml/itemProps2.xml><?xml version="1.0" encoding="utf-8"?>
<ds:datastoreItem xmlns:ds="http://schemas.openxmlformats.org/officeDocument/2006/customXml" ds:itemID="{49406298-CF5D-4FD7-A77A-ABB0E8E06401}"/>
</file>

<file path=customXml/itemProps3.xml><?xml version="1.0" encoding="utf-8"?>
<ds:datastoreItem xmlns:ds="http://schemas.openxmlformats.org/officeDocument/2006/customXml" ds:itemID="{5833FC54-271B-416F-8D90-EB4C8800A9F4}"/>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KW05,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2026-02-25T13:09:18Z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