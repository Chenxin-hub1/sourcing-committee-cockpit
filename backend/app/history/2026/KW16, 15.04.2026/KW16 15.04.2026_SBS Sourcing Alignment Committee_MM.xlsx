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16, 15.04.2026/"/>
    </mc:Choice>
  </mc:AlternateContent>
  <xr:revisionPtr revIDLastSave="8" documentId="8_{A61ED08B-82EB-495C-A4B1-0EF29CE8CF4F}" xr6:coauthVersionLast="47" xr6:coauthVersionMax="47" xr10:uidLastSave="{2B75BA4C-F94F-4C0A-9F4F-BB93AB3E3AC1}"/>
  <bookViews>
    <workbookView xWindow="28680" yWindow="-120" windowWidth="29040" windowHeight="15720" xr2:uid="{00000000-000D-0000-FFFF-FFFF00000000}"/>
  </bookViews>
  <sheets>
    <sheet name="KW14, 2026" sheetId="4" r:id="rId1"/>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 i="4" l="1"/>
  <c r="V6" i="4"/>
  <c r="W5" i="4"/>
  <c r="V5" i="4"/>
  <c r="W4" i="4"/>
  <c r="V4" i="4"/>
  <c r="W2" i="4"/>
  <c r="V2" i="4"/>
  <c r="W3" i="4"/>
  <c r="V3" i="4"/>
</calcChain>
</file>

<file path=xl/sharedStrings.xml><?xml version="1.0" encoding="utf-8"?>
<sst xmlns="http://schemas.openxmlformats.org/spreadsheetml/2006/main" count="104" uniqueCount="71">
  <si>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</si>
  <si>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</si>
  <si>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</si>
  <si>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</si>
  <si>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</si>
  <si>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</si>
  <si>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</si>
  <si>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</si>
  <si>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</si>
  <si>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</si>
  <si>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</si>
  <si>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</si>
  <si>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</si>
  <si>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</si>
  <si>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</si>
  <si>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</si>
  <si>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</si>
  <si>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</si>
  <si>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</si>
  <si>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</si>
  <si>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</si>
  <si>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</si>
  <si>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</si>
  <si>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</si>
  <si>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</si>
  <si>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</si>
  <si>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L3</t>
  </si>
  <si>
    <t>Stamping</t>
  </si>
  <si>
    <t>NA</t>
  </si>
  <si>
    <t>Wendy Li</t>
  </si>
  <si>
    <t>GM C1UC/UL2</t>
  </si>
  <si>
    <t>New</t>
  </si>
  <si>
    <t>SC06003</t>
  </si>
  <si>
    <t>R003W668A</t>
  </si>
  <si>
    <t>Proto Gage Tool &amp; Die, Inc.</t>
  </si>
  <si>
    <t>140K Euro 
154K USD</t>
  </si>
  <si>
    <t>869K Euro
956K USD</t>
  </si>
  <si>
    <t>0.81575 Euro/pc
0,89733 USD/pc</t>
  </si>
  <si>
    <t>APT Mount Bracket</t>
  </si>
  <si>
    <t>R003W671A</t>
  </si>
  <si>
    <t>870K Euro
957K USD</t>
  </si>
  <si>
    <t>107272 Euro
118000 USD</t>
  </si>
  <si>
    <t>NEW</t>
  </si>
  <si>
    <t>SPR6.1, 
GM C1UC/UL2</t>
  </si>
  <si>
    <t>Wire forming</t>
  </si>
  <si>
    <t>SC03002</t>
  </si>
  <si>
    <t>B/2026/00021
110000033857</t>
  </si>
  <si>
    <t xml:space="preserve">HOUSING, RETR. SPRING CASSETE UNIT </t>
  </si>
  <si>
    <t>R000H768A</t>
  </si>
  <si>
    <t xml:space="preserve">Kern Liebers MX Monterrey </t>
  </si>
  <si>
    <t>Violeta Beltran del Rio</t>
  </si>
  <si>
    <t>L2</t>
  </si>
  <si>
    <t>61K Euro
67K USD</t>
  </si>
  <si>
    <t>367K Euro
404K USD</t>
  </si>
  <si>
    <t>0,5051 Euro/pc
0,5564 USD/pc</t>
  </si>
  <si>
    <t>0,6247 Euro/pc
0,6871 USD/pc</t>
  </si>
  <si>
    <t>SPR6.1, 
NCAR, T1 SUV, T2 SUV</t>
  </si>
  <si>
    <t>B/2026/00021
110000031362</t>
  </si>
  <si>
    <t>608K Euro
668K USD</t>
  </si>
  <si>
    <t>4,6 Mio Euro
5,0 Mio USD</t>
  </si>
  <si>
    <t>60,000 Euro
66,000 USD</t>
  </si>
  <si>
    <t>SPR6.1, 
Rivian R2</t>
  </si>
  <si>
    <t>B/2026/00021
110000031179</t>
  </si>
  <si>
    <t xml:space="preserve"> &amp; R000H767A </t>
  </si>
  <si>
    <t>249K Euro
274K USD</t>
  </si>
  <si>
    <t>1.4 Mio Euro
1.6 Mio USD</t>
  </si>
  <si>
    <t>Conditionally Approved with actions</t>
  </si>
  <si>
    <t>1. 'Protogage lead time: 12 weeks for FOT, 2 cav, LH-RH tool
Protogage considered so far mainly for non-complicated parts, due to previous Protogage finance issue.
Financial situation improved since mid 2025.
2. Protogage RM price is better than Cheersson or ZF SWC
3. UMP has better process cost than Cheerrsson
4. Tool will be owned by GM</t>
  </si>
  <si>
    <t>1. To support PV build Oct with Alfdorf spring housing.
To do delta PV Q1 2027 with Eclipse housing as serial local solution. 
2. Presented on profitablility review NA: 0,63 Euro/pc (2025), 0,5923 Euro/pc (2026), due to change of EX Rate.</t>
  </si>
  <si>
    <t>1. to organize management meeting with Cheersson to review competitiveness level.  --CM Wendy
2. to check what was quoted tool condition towards GM, number of tools and cavities, how will they pay or refund. -- PP Bill.</t>
  </si>
  <si>
    <r>
      <t xml:space="preserve">1. To varify details of the logistic cost ALF-MX provided by Kern Liebers, which includs oversea packaging and sea freight. Ca. 0,12 USD, almost same cost as the part. against ZF LT ALF transportation cost?-- PM Thomas to support
Packaging considered: bag, bulk pack already. </t>
    </r>
    <r>
      <rPr>
        <b/>
        <sz val="8"/>
        <color theme="9"/>
        <rFont val="Arial"/>
        <family val="2"/>
      </rPr>
      <t>Done</t>
    </r>
    <r>
      <rPr>
        <sz val="8"/>
        <color rgb="FF000000"/>
        <rFont val="Arial"/>
        <family val="2"/>
      </rPr>
      <t xml:space="preserve">
2. To approach Marlon´s CH CM team to support searching for competitive local NA buffer disc supplier. -- PP Mario
Supplier must prove themselves USMCA eligiable. </t>
    </r>
    <r>
      <rPr>
        <b/>
        <sz val="8"/>
        <color theme="9"/>
        <rFont val="Arial"/>
        <family val="2"/>
      </rPr>
      <t>Done, Eclipse local NA supplier recommended, both Alfdorf and Eclipse USMCA confirmed.</t>
    </r>
    <r>
      <rPr>
        <sz val="8"/>
        <color rgb="FF000000"/>
        <rFont val="Arial"/>
        <family val="2"/>
      </rPr>
      <t xml:space="preserve">
3. Investment of 66K USD each needed for DMC requirement, to share the quote to PM Thomas. --CM Violeta
</t>
    </r>
    <r>
      <rPr>
        <b/>
        <sz val="8"/>
        <color theme="9"/>
        <rFont val="Arial"/>
        <family val="2"/>
      </rPr>
      <t>Done.</t>
    </r>
    <r>
      <rPr>
        <sz val="8"/>
        <color rgb="FF000000"/>
        <rFont val="Arial"/>
        <family val="2"/>
      </rPr>
      <t xml:space="preserve">
4. MBEAL NA addtional 300k pcs average year  volume to be further considered, to run convention. -- CM, PP Dawid </t>
    </r>
    <r>
      <rPr>
        <b/>
        <sz val="8"/>
        <color theme="9"/>
        <rFont val="Arial"/>
        <family val="2"/>
      </rPr>
      <t>Done</t>
    </r>
    <r>
      <rPr>
        <sz val="8"/>
        <color rgb="FF000000"/>
        <rFont val="Arial"/>
        <family val="2"/>
      </rPr>
      <t xml:space="preserve">
5. BPG gap: higher cylce time, labor and machine rate at KL MX. 
KL MX QAF shared.
KL MX competitiveness level needs to be further checked or challenged. -- CM Violeta, CE Zhuan
6. To check overall BOM cost, whether total BOM cost is below CQA.--PP Bill
To re-quote GM as USMCA resiliance offfer. -- PP Bill, PM Thomas to check with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</si>
</sst>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0\ [$€-407];\-#,##0\ [$€-407]"/>
    <numFmt numFmtId="165" formatCode="_-* #,##0\ &quot;€&quot;_-;\-* #,##0\ &quot;€&quot;_-;_-* &quot;-&quot;??\ &quot;€&quot;_-;_-@_-"/>
    <numFmt numFmtId="166" formatCode="_(&quot;$&quot;* #,##0_);_(&quot;$&quot;* \(#,##0\);_(&quot;$&quot;* &quot;-&quot;??_);_(@_)"/>
    <numFmt numFmtId="167" formatCode="_(&quot;$&quot;* #,##0.000_);_(&quot;$&quot;* \(#,##0.000\);_(&quot;$&quot;* &quot;-&quot;??_);_(@_)"/>
    <numFmt numFmtId="168" formatCode="#,##0;[Red]#,##0"/>
    <numFmt numFmtId="169" formatCode="#,##0\ [$EUR]"/>
  </numFmts>
  <fonts count="9"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sz val="11"/>
      <color theme="1"/>
      <name val="Calibri"/>
      <family val="2"/>
      <scheme val="minor"/>
    </font>
    <font>
      <b/>
      <sz val="8"/>
      <color theme="5" tint="-0.249977111117893"/>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3">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s>
  <cellStyleXfs count="3">
    <xf numFmtId="0" fontId="0" fillId="0" borderId="0"/>
    <xf numFmtId="0" fontId="3" fillId="5" borderId="0" applyNumberFormat="0" applyBorder="0" applyAlignment="0" applyProtection="0"/>
    <xf numFmtId="44" fontId="7" fillId="0" borderId="0" applyFont="0" applyFill="0" applyBorder="0" applyAlignment="0" applyProtection="0"/>
  </cellStyleXfs>
  <cellXfs count="47">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vertical="center" wrapText="1" readingOrder="1"/>
    </xf>
    <xf numFmtId="165" fontId="4" fillId="5" borderId="3" xfId="1" quotePrefix="1" applyNumberFormat="1" applyFont="1" applyBorder="1" applyAlignment="1">
      <alignment horizontal="center" vertical="center" wrapText="1" readingOrder="1"/>
    </xf>
    <xf numFmtId="1" fontId="1" fillId="3" borderId="3" xfId="0" quotePrefix="1" applyNumberFormat="1" applyFont="1" applyFill="1" applyBorder="1" applyAlignment="1">
      <alignment horizontal="left" vertical="center" wrapText="1" readingOrder="1"/>
    </xf>
    <xf numFmtId="166" fontId="1" fillId="3" borderId="3" xfId="2" quotePrefix="1" applyNumberFormat="1" applyFont="1" applyFill="1" applyBorder="1" applyAlignment="1">
      <alignment horizontal="center" vertical="center" wrapText="1" readingOrder="1"/>
    </xf>
    <xf numFmtId="167" fontId="1" fillId="3" borderId="3" xfId="2" quotePrefix="1" applyNumberFormat="1" applyFont="1" applyFill="1" applyBorder="1" applyAlignment="1">
      <alignment horizontal="center" vertical="center" wrapText="1" readingOrder="1"/>
    </xf>
    <xf numFmtId="168" fontId="1" fillId="3" borderId="3" xfId="2" quotePrefix="1" applyNumberFormat="1" applyFont="1" applyFill="1" applyBorder="1" applyAlignment="1">
      <alignment horizontal="left" vertical="center" wrapText="1" readingOrder="1"/>
    </xf>
    <xf numFmtId="169" fontId="1" fillId="3" borderId="3" xfId="0" quotePrefix="1" applyNumberFormat="1" applyFont="1" applyFill="1" applyBorder="1" applyAlignment="1">
      <alignment horizontal="left" vertical="center" wrapText="1" readingOrder="1"/>
    </xf>
    <xf numFmtId="0" fontId="1" fillId="3" borderId="7" xfId="0" quotePrefix="1" applyFont="1" applyFill="1" applyBorder="1" applyAlignment="1">
      <alignment horizontal="left" vertical="top" wrapText="1" readingOrder="1"/>
    </xf>
    <xf numFmtId="0" fontId="1" fillId="3" borderId="9" xfId="0" quotePrefix="1" applyFont="1" applyFill="1" applyBorder="1" applyAlignment="1">
      <alignment horizontal="left" vertical="top" wrapText="1" readingOrder="1"/>
    </xf>
    <xf numFmtId="3" fontId="1" fillId="3" borderId="7" xfId="0" quotePrefix="1" applyNumberFormat="1" applyFont="1" applyFill="1" applyBorder="1" applyAlignment="1">
      <alignment horizontal="left" vertical="top" wrapText="1" readingOrder="1"/>
    </xf>
    <xf numFmtId="3" fontId="1" fillId="3" borderId="9" xfId="0" quotePrefix="1" applyNumberFormat="1" applyFont="1" applyFill="1" applyBorder="1" applyAlignment="1">
      <alignment horizontal="left" vertical="top" wrapText="1" readingOrder="1"/>
    </xf>
    <xf numFmtId="0" fontId="5" fillId="3" borderId="10" xfId="0" quotePrefix="1" applyFont="1" applyFill="1" applyBorder="1" applyAlignment="1">
      <alignment horizontal="center" vertical="center" wrapText="1" readingOrder="1"/>
    </xf>
    <xf numFmtId="0" fontId="5" fillId="3" borderId="12" xfId="0" quotePrefix="1" applyFont="1" applyFill="1" applyBorder="1" applyAlignment="1">
      <alignment horizontal="center" vertical="center" wrapText="1" readingOrder="1"/>
    </xf>
    <xf numFmtId="49" fontId="1" fillId="3" borderId="7" xfId="2" quotePrefix="1" applyNumberFormat="1" applyFont="1" applyFill="1" applyBorder="1" applyAlignment="1">
      <alignment horizontal="left" vertical="top" wrapText="1" readingOrder="1"/>
    </xf>
    <xf numFmtId="49" fontId="1" fillId="3" borderId="8" xfId="2" quotePrefix="1" applyNumberFormat="1" applyFont="1" applyFill="1" applyBorder="1" applyAlignment="1">
      <alignment horizontal="left" vertical="top" wrapText="1" readingOrder="1"/>
    </xf>
    <xf numFmtId="49" fontId="1" fillId="3" borderId="9" xfId="2" quotePrefix="1" applyNumberFormat="1" applyFont="1" applyFill="1" applyBorder="1" applyAlignment="1">
      <alignment horizontal="left" vertical="top" wrapText="1" readingOrder="1"/>
    </xf>
    <xf numFmtId="0" fontId="1" fillId="3" borderId="4"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3" fontId="1" fillId="3" borderId="4" xfId="0" quotePrefix="1" applyNumberFormat="1" applyFont="1" applyFill="1" applyBorder="1" applyAlignment="1">
      <alignment horizontal="center" vertical="center" wrapText="1" readingOrder="1"/>
    </xf>
    <xf numFmtId="3" fontId="1" fillId="3" borderId="6" xfId="0" quotePrefix="1" applyNumberFormat="1" applyFont="1" applyFill="1" applyBorder="1" applyAlignment="1">
      <alignment horizontal="center" vertical="center" wrapText="1" readingOrder="1"/>
    </xf>
    <xf numFmtId="3" fontId="1" fillId="3" borderId="5" xfId="0" quotePrefix="1" applyNumberFormat="1" applyFont="1" applyFill="1" applyBorder="1" applyAlignment="1">
      <alignment horizontal="center" vertical="center" wrapText="1" readingOrder="1"/>
    </xf>
    <xf numFmtId="0" fontId="8" fillId="3" borderId="10" xfId="0" quotePrefix="1" applyFont="1" applyFill="1" applyBorder="1" applyAlignment="1">
      <alignment horizontal="center" vertical="center" wrapText="1" readingOrder="1"/>
    </xf>
    <xf numFmtId="0" fontId="8" fillId="3" borderId="11" xfId="0" quotePrefix="1" applyFont="1" applyFill="1" applyBorder="1" applyAlignment="1">
      <alignment horizontal="center" vertical="center" wrapText="1" readingOrder="1"/>
    </xf>
    <xf numFmtId="0" fontId="8" fillId="3" borderId="12" xfId="0" quotePrefix="1" applyFont="1" applyFill="1" applyBorder="1" applyAlignment="1">
      <alignment horizontal="center" vertical="center" wrapText="1" readingOrder="1"/>
    </xf>
    <xf numFmtId="0" fontId="1" fillId="3" borderId="8" xfId="0" quotePrefix="1" applyFont="1" applyFill="1" applyBorder="1" applyAlignment="1">
      <alignment horizontal="left" vertical="top" wrapText="1" readingOrder="1"/>
    </xf>
    <xf numFmtId="0" fontId="1" fillId="3" borderId="4" xfId="0" quotePrefix="1" applyFont="1" applyFill="1" applyBorder="1" applyAlignment="1">
      <alignment horizontal="left" vertical="center" wrapText="1" readingOrder="1"/>
    </xf>
    <xf numFmtId="0" fontId="1" fillId="3" borderId="6" xfId="0" quotePrefix="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3" fontId="1" fillId="3" borderId="7" xfId="0" quotePrefix="1" applyNumberFormat="1" applyFont="1" applyFill="1" applyBorder="1" applyAlignment="1">
      <alignment horizontal="left" vertical="center" wrapText="1" readingOrder="1"/>
    </xf>
    <xf numFmtId="3" fontId="1" fillId="3" borderId="8" xfId="0" quotePrefix="1" applyNumberFormat="1" applyFont="1" applyFill="1" applyBorder="1" applyAlignment="1">
      <alignment horizontal="left" vertical="center" wrapText="1" readingOrder="1"/>
    </xf>
    <xf numFmtId="3" fontId="1" fillId="3" borderId="9" xfId="0" quotePrefix="1" applyNumberFormat="1" applyFont="1" applyFill="1" applyBorder="1" applyAlignment="1">
      <alignment horizontal="left" vertical="center" wrapText="1" readingOrder="1"/>
    </xf>
  </cellXfs>
  <cellStyles count="3">
    <cellStyle name="Currency" xfId="2" builtinId="4"/>
    <cellStyle name="Good" xfId="1" builtinId="26"/>
    <cellStyle name="Normal" xfId="0" builtinId="0"/>
  </cellStyles>
  <dxfs count="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4"/>
  <sheetViews>
    <sheetView tabSelected="1" topLeftCell="A3" zoomScale="115" zoomScaleNormal="115" workbookViewId="0">
      <selection activeCell="J5" sqref="J5"/>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0.88671875" style="4" customWidth="1"/>
    <col min="9" max="9" width="13.88671875" style="4" customWidth="1"/>
    <col min="10" max="10" width="14.44140625" style="4" customWidth="1"/>
    <col min="11" max="11" width="10.109375" style="4" customWidth="1"/>
    <col min="12" max="12" width="9.109375" style="4"/>
    <col min="13" max="13" width="12" style="4" customWidth="1"/>
    <col min="14" max="14" width="11.33203125" style="4" customWidth="1"/>
    <col min="15" max="15" width="23.109375" style="4" customWidth="1"/>
    <col min="16" max="16" width="17.109375" style="4" customWidth="1"/>
    <col min="17" max="17" width="34.77734375" style="4" customWidth="1"/>
    <col min="18" max="18" width="12.44140625" style="4" customWidth="1"/>
    <col min="19" max="19" width="13.109375" style="4" customWidth="1"/>
    <col min="20" max="22" width="10.88671875" style="4" customWidth="1"/>
    <col min="23" max="23" width="12.109375" style="4" bestFit="1" customWidth="1"/>
    <col min="24" max="26" width="10.88671875" style="4" customWidth="1"/>
  </cols>
  <sheetData>
    <row r="1" spans="1:26" s="1" customFormat="1" ht="42.6" customHeight="1" thickBot="1" x14ac:dyDescent="0.35">
      <c r="A1" s="2" t="s">
        <v>0</v>
      </c>
      <c r="B1" s="2" t="s">
        <v>1</v>
      </c>
      <c r="C1" s="2" t="s">
        <v>2</v>
      </c>
      <c r="D1" s="2" t="s">
        <v>4</v>
      </c>
      <c r="E1" s="2" t="s">
        <v>5</v>
      </c>
      <c r="F1" s="2" t="s">
        <v>15</v>
      </c>
      <c r="G1" s="2" t="s">
        <v>9</v>
      </c>
      <c r="H1" s="2" t="s">
        <v>13</v>
      </c>
      <c r="I1" s="2" t="s">
        <v>10</v>
      </c>
      <c r="J1" s="2" t="s">
        <v>11</v>
      </c>
      <c r="K1" s="2" t="s">
        <v>6</v>
      </c>
      <c r="L1" s="2" t="s">
        <v>7</v>
      </c>
      <c r="M1" s="2" t="s">
        <v>8</v>
      </c>
      <c r="N1" s="2" t="s">
        <v>3</v>
      </c>
      <c r="O1" s="2" t="s">
        <v>25</v>
      </c>
      <c r="P1" s="2" t="s">
        <v>12</v>
      </c>
      <c r="Q1" s="2" t="s">
        <v>14</v>
      </c>
      <c r="R1" s="7" t="s">
        <v>16</v>
      </c>
      <c r="S1" s="7" t="s">
        <v>17</v>
      </c>
      <c r="T1" s="8" t="s">
        <v>18</v>
      </c>
      <c r="U1" s="8" t="s">
        <v>19</v>
      </c>
      <c r="V1" s="8" t="s">
        <v>22</v>
      </c>
      <c r="W1" s="8" t="s">
        <v>20</v>
      </c>
      <c r="X1" s="7" t="s">
        <v>23</v>
      </c>
      <c r="Y1" s="7" t="s">
        <v>21</v>
      </c>
      <c r="Z1" s="7" t="s">
        <v>24</v>
      </c>
    </row>
    <row r="2" spans="1:26" s="1" customFormat="1" ht="118.35" customHeight="1" thickBot="1" x14ac:dyDescent="0.35">
      <c r="A2" s="6">
        <v>1</v>
      </c>
      <c r="B2" s="6" t="s">
        <v>28</v>
      </c>
      <c r="C2" s="6" t="s">
        <v>31</v>
      </c>
      <c r="D2" s="6" t="s">
        <v>30</v>
      </c>
      <c r="E2" s="9" t="s">
        <v>27</v>
      </c>
      <c r="F2" s="9" t="s">
        <v>32</v>
      </c>
      <c r="G2" s="13">
        <v>110000034384</v>
      </c>
      <c r="H2" s="6" t="s">
        <v>38</v>
      </c>
      <c r="I2" s="6" t="s">
        <v>39</v>
      </c>
      <c r="J2" s="6" t="s">
        <v>34</v>
      </c>
      <c r="K2" s="9" t="s">
        <v>29</v>
      </c>
      <c r="L2" s="9" t="s">
        <v>26</v>
      </c>
      <c r="M2" s="6" t="s">
        <v>35</v>
      </c>
      <c r="N2" s="6" t="s">
        <v>40</v>
      </c>
      <c r="O2" s="22" t="s">
        <v>67</v>
      </c>
      <c r="P2" s="26"/>
      <c r="Q2" s="24" t="s">
        <v>69</v>
      </c>
      <c r="R2" s="9" t="s">
        <v>37</v>
      </c>
      <c r="S2" s="6" t="s">
        <v>37</v>
      </c>
      <c r="T2" s="9">
        <v>152250</v>
      </c>
      <c r="U2" s="9">
        <v>1065750</v>
      </c>
      <c r="V2" s="5">
        <f>(0.81666-0.81666)*T2</f>
        <v>0</v>
      </c>
      <c r="W2" s="5">
        <f>(0.81666-0.81666)*U2</f>
        <v>0</v>
      </c>
      <c r="X2" s="9" t="s">
        <v>41</v>
      </c>
      <c r="Y2" s="9" t="s">
        <v>41</v>
      </c>
      <c r="Z2" s="16">
        <v>0</v>
      </c>
    </row>
    <row r="3" spans="1:26" s="1" customFormat="1" ht="118.35" customHeight="1" thickBot="1" x14ac:dyDescent="0.35">
      <c r="A3" s="6">
        <v>2</v>
      </c>
      <c r="B3" s="6" t="s">
        <v>28</v>
      </c>
      <c r="C3" s="6" t="s">
        <v>31</v>
      </c>
      <c r="D3" s="6" t="s">
        <v>30</v>
      </c>
      <c r="E3" s="9" t="s">
        <v>27</v>
      </c>
      <c r="F3" s="9" t="s">
        <v>32</v>
      </c>
      <c r="G3" s="13">
        <v>110000034383</v>
      </c>
      <c r="H3" s="6" t="s">
        <v>38</v>
      </c>
      <c r="I3" s="6" t="s">
        <v>33</v>
      </c>
      <c r="J3" s="6" t="s">
        <v>34</v>
      </c>
      <c r="K3" s="9" t="s">
        <v>29</v>
      </c>
      <c r="L3" s="9" t="s">
        <v>26</v>
      </c>
      <c r="M3" s="6" t="s">
        <v>35</v>
      </c>
      <c r="N3" s="6" t="s">
        <v>36</v>
      </c>
      <c r="O3" s="23"/>
      <c r="P3" s="27"/>
      <c r="Q3" s="25"/>
      <c r="R3" s="9" t="s">
        <v>37</v>
      </c>
      <c r="S3" s="6" t="s">
        <v>37</v>
      </c>
      <c r="T3" s="9">
        <v>152250</v>
      </c>
      <c r="U3" s="9">
        <v>1065750</v>
      </c>
      <c r="V3" s="5">
        <f>(0.81575-0.81575)*T3</f>
        <v>0</v>
      </c>
      <c r="W3" s="5">
        <f>(0.81575-0.81575)*U3</f>
        <v>0</v>
      </c>
      <c r="X3" s="9">
        <v>0</v>
      </c>
      <c r="Y3" s="6">
        <v>0</v>
      </c>
      <c r="Z3" s="10">
        <v>0</v>
      </c>
    </row>
    <row r="4" spans="1:26" s="1" customFormat="1" ht="118.35" customHeight="1" thickBot="1" x14ac:dyDescent="0.35">
      <c r="A4" s="31">
        <v>3</v>
      </c>
      <c r="B4" s="41" t="s">
        <v>28</v>
      </c>
      <c r="C4" s="12" t="s">
        <v>42</v>
      </c>
      <c r="D4" s="12" t="s">
        <v>43</v>
      </c>
      <c r="E4" s="11" t="s">
        <v>44</v>
      </c>
      <c r="F4" s="11" t="s">
        <v>45</v>
      </c>
      <c r="G4" s="17" t="s">
        <v>46</v>
      </c>
      <c r="H4" s="12" t="s">
        <v>47</v>
      </c>
      <c r="I4" s="12" t="s">
        <v>48</v>
      </c>
      <c r="J4" s="12" t="s">
        <v>49</v>
      </c>
      <c r="K4" s="44" t="s">
        <v>50</v>
      </c>
      <c r="L4" s="34" t="s">
        <v>51</v>
      </c>
      <c r="M4" s="18" t="s">
        <v>52</v>
      </c>
      <c r="N4" s="18" t="s">
        <v>53</v>
      </c>
      <c r="O4" s="22" t="s">
        <v>68</v>
      </c>
      <c r="P4" s="37" t="s">
        <v>66</v>
      </c>
      <c r="Q4" s="28" t="s">
        <v>70</v>
      </c>
      <c r="R4" s="19" t="s">
        <v>54</v>
      </c>
      <c r="S4" s="19" t="s">
        <v>55</v>
      </c>
      <c r="T4" s="20">
        <v>98000</v>
      </c>
      <c r="U4" s="20">
        <v>588000</v>
      </c>
      <c r="V4" s="21">
        <f>(0.6247-0.5051)*T4</f>
        <v>11720.800000000005</v>
      </c>
      <c r="W4" s="21">
        <f>(0.6247-0.5051)*U4</f>
        <v>70324.800000000017</v>
      </c>
      <c r="X4" s="21">
        <v>0</v>
      </c>
      <c r="Y4" s="21">
        <v>0</v>
      </c>
      <c r="Z4" s="21">
        <v>0</v>
      </c>
    </row>
    <row r="5" spans="1:26" s="1" customFormat="1" ht="118.35" customHeight="1" thickBot="1" x14ac:dyDescent="0.35">
      <c r="A5" s="32"/>
      <c r="B5" s="42"/>
      <c r="C5" s="12" t="s">
        <v>42</v>
      </c>
      <c r="D5" s="12" t="s">
        <v>56</v>
      </c>
      <c r="E5" s="11" t="s">
        <v>44</v>
      </c>
      <c r="F5" s="11" t="s">
        <v>45</v>
      </c>
      <c r="G5" s="17" t="s">
        <v>57</v>
      </c>
      <c r="H5" s="12" t="s">
        <v>47</v>
      </c>
      <c r="I5" s="12" t="s">
        <v>48</v>
      </c>
      <c r="J5" s="12" t="s">
        <v>49</v>
      </c>
      <c r="K5" s="45"/>
      <c r="L5" s="35"/>
      <c r="M5" s="6" t="s">
        <v>58</v>
      </c>
      <c r="N5" s="6" t="s">
        <v>59</v>
      </c>
      <c r="O5" s="40"/>
      <c r="P5" s="38"/>
      <c r="Q5" s="29"/>
      <c r="R5" s="19" t="s">
        <v>54</v>
      </c>
      <c r="S5" s="19" t="s">
        <v>55</v>
      </c>
      <c r="T5" s="20">
        <v>812742</v>
      </c>
      <c r="U5" s="20">
        <v>7314678</v>
      </c>
      <c r="V5" s="21">
        <f>(0.6247-0.5051)*812742</f>
        <v>97203.943200000038</v>
      </c>
      <c r="W5" s="21">
        <f>(0.6247-0.5051)*U5</f>
        <v>874835.48880000028</v>
      </c>
      <c r="X5" s="21" t="s">
        <v>60</v>
      </c>
      <c r="Y5" s="21" t="s">
        <v>60</v>
      </c>
      <c r="Z5" s="21">
        <v>0</v>
      </c>
    </row>
    <row r="6" spans="1:26" s="1" customFormat="1" ht="159" customHeight="1" thickBot="1" x14ac:dyDescent="0.35">
      <c r="A6" s="33"/>
      <c r="B6" s="43"/>
      <c r="C6" s="12" t="s">
        <v>42</v>
      </c>
      <c r="D6" s="12" t="s">
        <v>61</v>
      </c>
      <c r="E6" s="11" t="s">
        <v>44</v>
      </c>
      <c r="F6" s="11" t="s">
        <v>45</v>
      </c>
      <c r="G6" s="17" t="s">
        <v>62</v>
      </c>
      <c r="H6" s="12" t="s">
        <v>47</v>
      </c>
      <c r="I6" s="12" t="s">
        <v>63</v>
      </c>
      <c r="J6" s="12" t="s">
        <v>49</v>
      </c>
      <c r="K6" s="46"/>
      <c r="L6" s="36"/>
      <c r="M6" s="6" t="s">
        <v>64</v>
      </c>
      <c r="N6" s="6" t="s">
        <v>65</v>
      </c>
      <c r="O6" s="23"/>
      <c r="P6" s="39"/>
      <c r="Q6" s="30"/>
      <c r="R6" s="19" t="s">
        <v>54</v>
      </c>
      <c r="S6" s="19" t="s">
        <v>55</v>
      </c>
      <c r="T6" s="20">
        <v>812742</v>
      </c>
      <c r="U6" s="20">
        <v>7314678</v>
      </c>
      <c r="V6" s="21">
        <f>(0.6247-0.5051)*812742</f>
        <v>97203.943200000038</v>
      </c>
      <c r="W6" s="21">
        <f>(0.6247-0.5051)*U6</f>
        <v>874835.48880000028</v>
      </c>
      <c r="X6" s="21" t="s">
        <v>60</v>
      </c>
      <c r="Y6" s="21" t="s">
        <v>60</v>
      </c>
      <c r="Z6" s="21">
        <v>0</v>
      </c>
    </row>
    <row r="7" spans="1:26" s="1" customFormat="1" ht="118.35" customHeight="1" thickBot="1" x14ac:dyDescent="0.35">
      <c r="A7" s="6"/>
      <c r="B7" s="6"/>
      <c r="C7" s="6"/>
      <c r="D7" s="6"/>
      <c r="E7" s="9"/>
      <c r="F7" s="9"/>
      <c r="G7" s="13"/>
      <c r="H7" s="6"/>
      <c r="I7" s="6"/>
      <c r="J7" s="6"/>
      <c r="K7" s="9"/>
      <c r="L7" s="9"/>
      <c r="M7" s="9"/>
      <c r="N7" s="9"/>
      <c r="O7" s="12"/>
      <c r="P7" s="15"/>
      <c r="Q7" s="11"/>
      <c r="R7" s="9"/>
      <c r="S7" s="6"/>
      <c r="T7" s="9"/>
      <c r="U7" s="9"/>
      <c r="V7" s="5"/>
      <c r="W7" s="5"/>
      <c r="X7" s="9"/>
      <c r="Y7" s="6"/>
      <c r="Z7" s="10"/>
    </row>
    <row r="8" spans="1:26" s="1" customFormat="1" ht="118.35" customHeight="1" thickBot="1" x14ac:dyDescent="0.35">
      <c r="A8" s="14"/>
      <c r="B8" s="6"/>
      <c r="C8" s="6"/>
      <c r="D8" s="6"/>
      <c r="E8" s="9"/>
      <c r="F8" s="9"/>
      <c r="G8" s="13"/>
      <c r="H8" s="6"/>
      <c r="I8" s="6"/>
      <c r="J8" s="6"/>
      <c r="K8" s="9"/>
      <c r="L8" s="9"/>
      <c r="M8" s="9"/>
      <c r="N8" s="9"/>
      <c r="O8" s="12"/>
      <c r="P8" s="15"/>
      <c r="Q8" s="11"/>
      <c r="R8" s="9"/>
      <c r="S8" s="6"/>
      <c r="T8" s="9"/>
      <c r="U8" s="9"/>
      <c r="V8" s="5"/>
      <c r="W8" s="5"/>
      <c r="X8" s="9"/>
      <c r="Y8" s="6"/>
      <c r="Z8" s="10"/>
    </row>
    <row r="9" spans="1:26" s="1" customFormat="1" ht="42.6"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s="1" customFormat="1" ht="42.6"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s="1" customFormat="1" ht="42.6"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s="1" customFormat="1" ht="42.6"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1" customFormat="1" ht="42.6"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1" customFormat="1" ht="42.6"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sheetData>
  <mergeCells count="10">
    <mergeCell ref="O2:O3"/>
    <mergeCell ref="Q2:Q3"/>
    <mergeCell ref="P2:P3"/>
    <mergeCell ref="Q4:Q6"/>
    <mergeCell ref="A4:A6"/>
    <mergeCell ref="L4:L6"/>
    <mergeCell ref="P4:P6"/>
    <mergeCell ref="O4:O6"/>
    <mergeCell ref="B4:B6"/>
    <mergeCell ref="K4:K6"/>
  </mergeCells>
  <phoneticPr fontId="6" type="noConversion"/>
  <conditionalFormatting sqref="V1:V2 Z1:Z1048576 V4:V6 V9:V1048576">
    <cfRule type="cellIs" dxfId="4" priority="66" operator="lessThan">
      <formula>0</formula>
    </cfRule>
  </conditionalFormatting>
  <conditionalFormatting sqref="V2:W3 V7:W8">
    <cfRule type="cellIs" dxfId="3" priority="4" operator="lessThan">
      <formula>0</formula>
    </cfRule>
  </conditionalFormatting>
  <conditionalFormatting sqref="V2:W8">
    <cfRule type="cellIs" dxfId="2" priority="1" operator="greaterThan">
      <formula>0</formula>
    </cfRule>
  </conditionalFormatting>
  <conditionalFormatting sqref="W4">
    <cfRule type="cellIs" dxfId="1" priority="2" operator="lessThan">
      <formula>0</formula>
    </cfRule>
  </conditionalFormatting>
  <conditionalFormatting sqref="Z2:Z3 Z7:Z8">
    <cfRule type="cellIs" dxfId="0" priority="15"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A4C388-E238-4B7E-A3D3-37DCFD128B19}"/>
</file>

<file path=customXml/itemProps2.xml><?xml version="1.0" encoding="utf-8"?>
<ds:datastoreItem xmlns:ds="http://schemas.openxmlformats.org/officeDocument/2006/customXml" ds:itemID="{D08EC8FA-08E5-40FF-98AC-8AE9BD22D685}"/>
</file>

<file path=customXml/itemProps3.xml><?xml version="1.0" encoding="utf-8"?>
<ds:datastoreItem xmlns:ds="http://schemas.openxmlformats.org/officeDocument/2006/customXml" ds:itemID="{1E5812AD-A470-400F-8519-5E067B3C14D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KW14,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2026-04-20T08:53:23Z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