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assivesafety-my.sharepoint.com/personal/xiangwei_chen_zf-lifetec_com/Documents/Program Purchasing RB/01. Sourcing/2026/Sourcing Alignment meeting/KW18, 29.04.2026/"/>
    </mc:Choice>
  </mc:AlternateContent>
  <xr:revisionPtr revIDLastSave="0" documentId="8_{10007E7C-4470-4F1B-88FA-44F2239C0C1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KW18, 2026" sheetId="4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9" i="4" l="1"/>
  <c r="V9" i="4"/>
  <c r="W8" i="4"/>
  <c r="V8" i="4"/>
  <c r="W4" i="4"/>
  <c r="V4" i="4"/>
  <c r="W6" i="4"/>
  <c r="V6" i="4"/>
  <c r="T5" i="4"/>
  <c r="V5" i="4" s="1"/>
  <c r="U5" i="4"/>
  <c r="W5" i="4" s="1"/>
  <c r="W3" i="4"/>
  <c r="V3" i="4"/>
  <c r="Z3" i="4"/>
  <c r="W2" i="4"/>
  <c r="V2" i="4"/>
  <c r="W7" i="4"/>
  <c r="V7" i="4"/>
  <c r="Z2" i="4"/>
</calcChain>
</file>

<file path=xl/sharedStrings.xml><?xml version="1.0" encoding="utf-8"?>
<sst xmlns="http://schemas.openxmlformats.org/spreadsheetml/2006/main" count="150" uniqueCount="109">
  <si>
    <t>#</t>
  </si>
  <si>
    <t>Region</t>
  </si>
  <si>
    <t>Type</t>
  </si>
  <si>
    <t>Project/ Product</t>
  </si>
  <si>
    <t>Commodity</t>
  </si>
  <si>
    <t>Parent PF Code</t>
  </si>
  <si>
    <t>SWAT ID / Bundle ID</t>
  </si>
  <si>
    <t>Part Description</t>
  </si>
  <si>
    <t>PN</t>
  </si>
  <si>
    <t>Recommended Supplier (s)</t>
  </si>
  <si>
    <t>Presenter</t>
  </si>
  <si>
    <t>Decision Level</t>
  </si>
  <si>
    <t>Peak Year Spend</t>
  </si>
  <si>
    <t xml:space="preserve">LT Spend </t>
  </si>
  <si>
    <t>Comment</t>
  </si>
  <si>
    <t xml:space="preserve">Sourcing Decision </t>
  </si>
  <si>
    <t>Notes/Task/ Resp./ Due Date</t>
  </si>
  <si>
    <t>CQA PC PRICE</t>
  </si>
  <si>
    <t>Rec. Supplier Landed</t>
  </si>
  <si>
    <t>Average Volume</t>
  </si>
  <si>
    <t>LT volume</t>
  </si>
  <si>
    <t>Average Year Saving vs CQA</t>
  </si>
  <si>
    <t>LT saving</t>
  </si>
  <si>
    <t>CQA Tooling</t>
  </si>
  <si>
    <t xml:space="preserve">Rec. Supplier Tooling </t>
  </si>
  <si>
    <t>Tooling Saving vs CQA</t>
  </si>
  <si>
    <t>Carry Over</t>
  </si>
  <si>
    <t>L2</t>
  </si>
  <si>
    <t>NA</t>
  </si>
  <si>
    <t>T1XX-2 SUV</t>
  </si>
  <si>
    <t>34244705C</t>
  </si>
  <si>
    <t>ODW-Elektrik GmbH</t>
  </si>
  <si>
    <t>Fabiola Rodriguez</t>
  </si>
  <si>
    <t>L3</t>
  </si>
  <si>
    <t>3.9 Mio Euro</t>
  </si>
  <si>
    <t>EU</t>
  </si>
  <si>
    <t>VW Tranche 9</t>
  </si>
  <si>
    <t>Switch Assy</t>
  </si>
  <si>
    <t>34161377D</t>
  </si>
  <si>
    <t>EAO Automotive GmbH &amp; Co. KG</t>
  </si>
  <si>
    <t>Cesar Espinoza</t>
  </si>
  <si>
    <t>0,667 Euro/pc</t>
  </si>
  <si>
    <t>0,618 Euro/pc</t>
  </si>
  <si>
    <t>Functional Plastics</t>
  </si>
  <si>
    <t>Stamping</t>
  </si>
  <si>
    <t>SC06003
Cut&amp;Bend|Medium|Passenger Cars</t>
  </si>
  <si>
    <t>Buckle Strap</t>
  </si>
  <si>
    <t>34285833A</t>
  </si>
  <si>
    <t>Proto Gage Tool &amp; Die, Inc.</t>
  </si>
  <si>
    <t>Wendy Li</t>
  </si>
  <si>
    <t>422K Euro
465K USD</t>
  </si>
  <si>
    <t>2,76 Mio Euro
3.03 Mio RMB</t>
  </si>
  <si>
    <t>34285834A</t>
  </si>
  <si>
    <t>180K Euro
198K USD</t>
  </si>
  <si>
    <t>1,26 Mio Euro
1,39 Mio USD</t>
  </si>
  <si>
    <t>0,5655 Euro/pc
0,6220 USD/pc</t>
  </si>
  <si>
    <t>0,6636 Euro/pc
0,7300 USD/pc</t>
  </si>
  <si>
    <t>0,3380 Euro/pc
0,3718 USD/pc</t>
  </si>
  <si>
    <t>0,5564 Euro/pc
0,6120 USD/pc</t>
  </si>
  <si>
    <t>Electric Mechanicals</t>
  </si>
  <si>
    <t>EA03011
Buckle Switches</t>
  </si>
  <si>
    <t>0,3258 Euro/PC    0,3584 USD/PC</t>
  </si>
  <si>
    <t>B/2026/00124
110000032513</t>
  </si>
  <si>
    <t>B/2026/00124
110000033759</t>
  </si>
  <si>
    <t>Carryover</t>
  </si>
  <si>
    <t>110000032555</t>
  </si>
  <si>
    <t>Tongue</t>
  </si>
  <si>
    <t>34124529C</t>
  </si>
  <si>
    <t>Mario Lopez</t>
  </si>
  <si>
    <t>CH01023
Structural Parts</t>
  </si>
  <si>
    <t>218K Euro
240K USD</t>
  </si>
  <si>
    <t>1,53 Mio Euro
1,68 Mio USD</t>
  </si>
  <si>
    <t>168K Euro</t>
  </si>
  <si>
    <t>572K Euro</t>
  </si>
  <si>
    <t>0,39 Euro/pc
0.43 USD/pc</t>
  </si>
  <si>
    <t>0,33 Euro/pc
0.36 USD/pc</t>
  </si>
  <si>
    <t>Fawn Mexico, Inc.</t>
  </si>
  <si>
    <t>GM C1UC/UL2</t>
  </si>
  <si>
    <t>B/2026/00132
110000032874</t>
  </si>
  <si>
    <t>B/2026/00132
110000032873</t>
  </si>
  <si>
    <t>A024C727B</t>
  </si>
  <si>
    <t>A024C726B</t>
  </si>
  <si>
    <t>Forgings &amp; Formings</t>
  </si>
  <si>
    <t>FF01017
Special Gear</t>
  </si>
  <si>
    <t>Eichsfelder Schraubenwerk GmbH</t>
  </si>
  <si>
    <t>Robert Nieczyporuk</t>
  </si>
  <si>
    <t>913K Euro</t>
  </si>
  <si>
    <t>140K Euro</t>
  </si>
  <si>
    <t>972K Euro</t>
  </si>
  <si>
    <t>0,39 Euro/pc</t>
  </si>
  <si>
    <t>0,3794 Euro/pc</t>
  </si>
  <si>
    <t>0,40 Euro/pc</t>
  </si>
  <si>
    <t>0,3970 Euro/pc</t>
  </si>
  <si>
    <t>Torsion Bar 8.5</t>
  </si>
  <si>
    <t>Torsion Bar 8.0</t>
  </si>
  <si>
    <t>Volvo V326
Family 8 MSLL</t>
  </si>
  <si>
    <t>1. Torsion bars awarded 2023 to ESW for Volvo V436, AP &amp; EU.
• V436 status: cancelled in AP, EU SOP April 2026</t>
  </si>
  <si>
    <t>Offline Approved KW17</t>
  </si>
  <si>
    <t>1. New price will be valid along with SOP of new project SOP, means a price reduction
2. In addtion, 2% LTA will be effective starting 2026
3. Supplier Proto Gage will cover tooling refurbishment by their own
4. Is GM replacement project.</t>
  </si>
  <si>
    <t>Approved</t>
  </si>
  <si>
    <t>1. To re-negotiate with Proto Gage, to check if price reduction can be effective immediately upon nomination -- CM Wendy, KW19</t>
  </si>
  <si>
    <t>Approved with action</t>
  </si>
  <si>
    <t>1. Only sourcing overmolding process, metal inserts from ZF Midland</t>
  </si>
  <si>
    <t>1. CQA to be adjusted to current price--PP Mario
2. To check how CQA was put in BQT Biz Case, would -- PP Mario to double check</t>
  </si>
  <si>
    <t>To be followed up</t>
  </si>
  <si>
    <t>1. To add BPG and share analysis -- CM Mario
Sourcing decision to follow after checking BPG analysis</t>
  </si>
  <si>
    <t>1. Tooling to be paid in amortization
PC price in SDS is without the tooling amortization.
2. Compressed timing</t>
  </si>
  <si>
    <t>1. To update volume of GM T1XX, MCP, to add volume of Tesla E80-- PP
2. To re-negotiate and to improve pc price -- CP Fabiola</t>
  </si>
  <si>
    <t>1. anual maintenance &amp; one time investment to be amortized into 2 year pc price
2. No other alternatives available.
3. SOP in June, timing tight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</si>
</sst>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€&quot;_-;\-* #,##0.00\ &quot;€&quot;_-;_-* &quot;-&quot;??\ &quot;€&quot;_-;_-@_-"/>
    <numFmt numFmtId="164" formatCode="#,##0\ [$€-407];\-#,##0\ [$€-407]"/>
  </numFmts>
  <fonts count="9" x14ac:knownFonts="1">
    <font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b/>
      <sz val="8"/>
      <color rgb="FFFFFFFF"/>
      <name val="Arial"/>
      <family val="2"/>
    </font>
    <font>
      <sz val="11"/>
      <color rgb="FF006100"/>
      <name val="Calibri"/>
      <family val="2"/>
      <scheme val="minor"/>
    </font>
    <font>
      <sz val="8"/>
      <color rgb="FF006100"/>
      <name val="Arial"/>
      <family val="2"/>
    </font>
    <font>
      <b/>
      <sz val="8"/>
      <color theme="9"/>
      <name val="Arial"/>
      <family val="2"/>
    </font>
    <font>
      <sz val="8"/>
      <name val="Calibri"/>
      <family val="2"/>
      <scheme val="minor"/>
    </font>
    <font>
      <b/>
      <sz val="8"/>
      <color rgb="FF00B050"/>
      <name val="Arial"/>
      <family val="2"/>
    </font>
    <font>
      <b/>
      <sz val="8"/>
      <color theme="5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E73E11"/>
        <bgColor indexed="64"/>
      </patternFill>
    </fill>
    <fill>
      <patternFill patternType="solid">
        <fgColor rgb="FFF6CE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</patternFill>
    </fill>
  </fills>
  <borders count="15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/>
      <top/>
      <bottom/>
      <diagonal/>
    </border>
    <border>
      <left style="medium">
        <color theme="0"/>
      </left>
      <right style="medium">
        <color rgb="FFFFFFFF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medium">
        <color rgb="FFFFFFFF"/>
      </left>
      <right style="medium">
        <color theme="0"/>
      </right>
      <top style="medium">
        <color theme="0"/>
      </top>
      <bottom/>
      <diagonal/>
    </border>
    <border>
      <left style="medium">
        <color rgb="FFFFFFFF"/>
      </left>
      <right style="medium">
        <color theme="0"/>
      </right>
      <top/>
      <bottom/>
      <diagonal/>
    </border>
    <border>
      <left style="medium">
        <color rgb="FFFFFFFF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rgb="FFFFFFFF"/>
      </right>
      <top style="medium">
        <color theme="0"/>
      </top>
      <bottom/>
      <diagonal/>
    </border>
    <border>
      <left style="medium">
        <color theme="0"/>
      </left>
      <right style="medium">
        <color rgb="FFFFFFFF"/>
      </right>
      <top/>
      <bottom/>
      <diagonal/>
    </border>
    <border>
      <left style="medium">
        <color theme="0"/>
      </left>
      <right style="medium">
        <color rgb="FFFFFFFF"/>
      </right>
      <top/>
      <bottom style="medium">
        <color theme="0"/>
      </bottom>
      <diagonal/>
    </border>
    <border>
      <left style="medium">
        <color rgb="FFFFFFFF"/>
      </left>
      <right style="medium">
        <color rgb="FFFFFFFF"/>
      </right>
      <top style="medium">
        <color theme="0"/>
      </top>
      <bottom/>
      <diagonal/>
    </border>
    <border>
      <left style="medium">
        <color rgb="FFFFFFFF"/>
      </left>
      <right style="medium">
        <color rgb="FFFFFFFF"/>
      </right>
      <top/>
      <bottom style="medium">
        <color theme="0"/>
      </bottom>
      <diagonal/>
    </border>
  </borders>
  <cellStyleXfs count="2">
    <xf numFmtId="0" fontId="0" fillId="0" borderId="0"/>
    <xf numFmtId="0" fontId="3" fillId="5" borderId="0" applyNumberFormat="0" applyBorder="0" applyAlignment="0" applyProtection="0"/>
  </cellStyleXfs>
  <cellXfs count="44">
    <xf numFmtId="0" fontId="0" fillId="0" borderId="0" xfId="0"/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center" vertical="center" wrapText="1" readingOrder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164" fontId="4" fillId="5" borderId="3" xfId="1" quotePrefix="1" applyNumberFormat="1" applyFont="1" applyBorder="1" applyAlignment="1">
      <alignment horizontal="center" vertical="center" wrapText="1" readingOrder="1"/>
    </xf>
    <xf numFmtId="0" fontId="1" fillId="3" borderId="3" xfId="0" quotePrefix="1" applyFont="1" applyFill="1" applyBorder="1" applyAlignment="1">
      <alignment horizontal="center" vertical="center" wrapText="1" readingOrder="1"/>
    </xf>
    <xf numFmtId="0" fontId="2" fillId="4" borderId="1" xfId="0" applyFont="1" applyFill="1" applyBorder="1" applyAlignment="1">
      <alignment horizontal="center" vertical="center" wrapText="1" readingOrder="1"/>
    </xf>
    <xf numFmtId="0" fontId="2" fillId="4" borderId="2" xfId="0" applyFont="1" applyFill="1" applyBorder="1" applyAlignment="1">
      <alignment horizontal="center" vertical="center" wrapText="1" readingOrder="1"/>
    </xf>
    <xf numFmtId="3" fontId="1" fillId="3" borderId="3" xfId="0" quotePrefix="1" applyNumberFormat="1" applyFont="1" applyFill="1" applyBorder="1" applyAlignment="1">
      <alignment horizontal="center" vertical="center" wrapText="1" readingOrder="1"/>
    </xf>
    <xf numFmtId="44" fontId="4" fillId="5" borderId="3" xfId="1" quotePrefix="1" applyNumberFormat="1" applyFont="1" applyBorder="1" applyAlignment="1">
      <alignment horizontal="center" vertical="center" wrapText="1" readingOrder="1"/>
    </xf>
    <xf numFmtId="3" fontId="1" fillId="3" borderId="3" xfId="0" quotePrefix="1" applyNumberFormat="1" applyFont="1" applyFill="1" applyBorder="1" applyAlignment="1">
      <alignment horizontal="left" vertical="center" wrapText="1" readingOrder="1"/>
    </xf>
    <xf numFmtId="0" fontId="1" fillId="3" borderId="3" xfId="0" quotePrefix="1" applyFont="1" applyFill="1" applyBorder="1" applyAlignment="1">
      <alignment horizontal="left" vertical="center" wrapText="1" readingOrder="1"/>
    </xf>
    <xf numFmtId="1" fontId="1" fillId="3" borderId="3" xfId="0" quotePrefix="1" applyNumberFormat="1" applyFont="1" applyFill="1" applyBorder="1" applyAlignment="1">
      <alignment horizontal="center" vertical="center" wrapText="1" readingOrder="1"/>
    </xf>
    <xf numFmtId="0" fontId="1" fillId="3" borderId="5" xfId="0" quotePrefix="1" applyFont="1" applyFill="1" applyBorder="1" applyAlignment="1">
      <alignment horizontal="center" vertical="center" wrapText="1" readingOrder="1"/>
    </xf>
    <xf numFmtId="0" fontId="5" fillId="3" borderId="7" xfId="0" quotePrefix="1" applyFont="1" applyFill="1" applyBorder="1" applyAlignment="1">
      <alignment vertical="center" wrapText="1" readingOrder="1"/>
    </xf>
    <xf numFmtId="0" fontId="1" fillId="3" borderId="4" xfId="0" quotePrefix="1" applyFont="1" applyFill="1" applyBorder="1" applyAlignment="1">
      <alignment horizontal="center" vertical="center" wrapText="1" readingOrder="1"/>
    </xf>
    <xf numFmtId="0" fontId="1" fillId="3" borderId="6" xfId="0" quotePrefix="1" applyFont="1" applyFill="1" applyBorder="1" applyAlignment="1">
      <alignment horizontal="center" vertical="center" wrapText="1" readingOrder="1"/>
    </xf>
    <xf numFmtId="0" fontId="1" fillId="3" borderId="5" xfId="0" quotePrefix="1" applyFont="1" applyFill="1" applyBorder="1" applyAlignment="1">
      <alignment horizontal="center" vertical="center" wrapText="1" readingOrder="1"/>
    </xf>
    <xf numFmtId="3" fontId="1" fillId="3" borderId="7" xfId="0" quotePrefix="1" applyNumberFormat="1" applyFont="1" applyFill="1" applyBorder="1" applyAlignment="1">
      <alignment horizontal="center" vertical="center" wrapText="1" readingOrder="1"/>
    </xf>
    <xf numFmtId="3" fontId="1" fillId="3" borderId="8" xfId="0" quotePrefix="1" applyNumberFormat="1" applyFont="1" applyFill="1" applyBorder="1" applyAlignment="1">
      <alignment horizontal="center" vertical="center" wrapText="1" readingOrder="1"/>
    </xf>
    <xf numFmtId="3" fontId="1" fillId="3" borderId="9" xfId="0" quotePrefix="1" applyNumberFormat="1" applyFont="1" applyFill="1" applyBorder="1" applyAlignment="1">
      <alignment horizontal="center" vertical="center" wrapText="1" readingOrder="1"/>
    </xf>
    <xf numFmtId="0" fontId="5" fillId="3" borderId="7" xfId="0" quotePrefix="1" applyFont="1" applyFill="1" applyBorder="1" applyAlignment="1">
      <alignment horizontal="center" vertical="center" wrapText="1" readingOrder="1"/>
    </xf>
    <xf numFmtId="0" fontId="5" fillId="3" borderId="8" xfId="0" quotePrefix="1" applyFont="1" applyFill="1" applyBorder="1" applyAlignment="1">
      <alignment horizontal="center" vertical="center" wrapText="1" readingOrder="1"/>
    </xf>
    <xf numFmtId="0" fontId="5" fillId="3" borderId="9" xfId="0" quotePrefix="1" applyFont="1" applyFill="1" applyBorder="1" applyAlignment="1">
      <alignment horizontal="center" vertical="center" wrapText="1" readingOrder="1"/>
    </xf>
    <xf numFmtId="0" fontId="1" fillId="3" borderId="10" xfId="0" quotePrefix="1" applyFont="1" applyFill="1" applyBorder="1" applyAlignment="1">
      <alignment horizontal="center" vertical="center" wrapText="1" readingOrder="1"/>
    </xf>
    <xf numFmtId="0" fontId="1" fillId="3" borderId="11" xfId="0" quotePrefix="1" applyFont="1" applyFill="1" applyBorder="1" applyAlignment="1">
      <alignment horizontal="center" vertical="center" wrapText="1" readingOrder="1"/>
    </xf>
    <xf numFmtId="0" fontId="1" fillId="3" borderId="12" xfId="0" quotePrefix="1" applyFont="1" applyFill="1" applyBorder="1" applyAlignment="1">
      <alignment horizontal="center" vertical="center" wrapText="1" readingOrder="1"/>
    </xf>
    <xf numFmtId="0" fontId="1" fillId="3" borderId="4" xfId="0" quotePrefix="1" applyFont="1" applyFill="1" applyBorder="1" applyAlignment="1">
      <alignment horizontal="left" vertical="center" wrapText="1" readingOrder="1"/>
    </xf>
    <xf numFmtId="0" fontId="1" fillId="3" borderId="5" xfId="0" quotePrefix="1" applyFont="1" applyFill="1" applyBorder="1" applyAlignment="1">
      <alignment horizontal="left" vertical="center" wrapText="1" readingOrder="1"/>
    </xf>
    <xf numFmtId="0" fontId="7" fillId="3" borderId="4" xfId="0" quotePrefix="1" applyFont="1" applyFill="1" applyBorder="1" applyAlignment="1">
      <alignment horizontal="center" vertical="center" wrapText="1" readingOrder="1"/>
    </xf>
    <xf numFmtId="0" fontId="7" fillId="3" borderId="5" xfId="0" quotePrefix="1" applyFont="1" applyFill="1" applyBorder="1" applyAlignment="1">
      <alignment horizontal="center" vertical="center" wrapText="1" readingOrder="1"/>
    </xf>
    <xf numFmtId="3" fontId="1" fillId="3" borderId="4" xfId="0" quotePrefix="1" applyNumberFormat="1" applyFont="1" applyFill="1" applyBorder="1" applyAlignment="1">
      <alignment horizontal="center" vertical="center" wrapText="1" readingOrder="1"/>
    </xf>
    <xf numFmtId="3" fontId="1" fillId="3" borderId="5" xfId="0" quotePrefix="1" applyNumberFormat="1" applyFont="1" applyFill="1" applyBorder="1" applyAlignment="1">
      <alignment horizontal="center" vertical="center" wrapText="1" readingOrder="1"/>
    </xf>
    <xf numFmtId="0" fontId="1" fillId="3" borderId="7" xfId="0" quotePrefix="1" applyFont="1" applyFill="1" applyBorder="1" applyAlignment="1">
      <alignment horizontal="center" vertical="center" wrapText="1" readingOrder="1"/>
    </xf>
    <xf numFmtId="0" fontId="1" fillId="3" borderId="9" xfId="0" quotePrefix="1" applyFont="1" applyFill="1" applyBorder="1" applyAlignment="1">
      <alignment horizontal="center" vertical="center" wrapText="1" readingOrder="1"/>
    </xf>
    <xf numFmtId="3" fontId="1" fillId="3" borderId="13" xfId="0" quotePrefix="1" applyNumberFormat="1" applyFont="1" applyFill="1" applyBorder="1" applyAlignment="1">
      <alignment horizontal="center" vertical="center" wrapText="1" readingOrder="1"/>
    </xf>
    <xf numFmtId="3" fontId="1" fillId="3" borderId="14" xfId="0" quotePrefix="1" applyNumberFormat="1" applyFont="1" applyFill="1" applyBorder="1" applyAlignment="1">
      <alignment horizontal="center" vertical="center" wrapText="1" readingOrder="1"/>
    </xf>
    <xf numFmtId="0" fontId="8" fillId="3" borderId="3" xfId="0" quotePrefix="1" applyFont="1" applyFill="1" applyBorder="1" applyAlignment="1">
      <alignment horizontal="center" vertical="center" wrapText="1" readingOrder="1"/>
    </xf>
    <xf numFmtId="0" fontId="8" fillId="3" borderId="10" xfId="0" quotePrefix="1" applyFont="1" applyFill="1" applyBorder="1" applyAlignment="1">
      <alignment horizontal="center" vertical="center" wrapText="1" readingOrder="1"/>
    </xf>
    <xf numFmtId="0" fontId="8" fillId="3" borderId="12" xfId="0" quotePrefix="1" applyFont="1" applyFill="1" applyBorder="1" applyAlignment="1">
      <alignment horizontal="center" vertical="center" wrapText="1" readingOrder="1"/>
    </xf>
    <xf numFmtId="3" fontId="1" fillId="3" borderId="7" xfId="0" quotePrefix="1" applyNumberFormat="1" applyFont="1" applyFill="1" applyBorder="1" applyAlignment="1">
      <alignment horizontal="left" vertical="center" wrapText="1" readingOrder="1"/>
    </xf>
    <xf numFmtId="3" fontId="1" fillId="3" borderId="9" xfId="0" quotePrefix="1" applyNumberFormat="1" applyFont="1" applyFill="1" applyBorder="1" applyAlignment="1">
      <alignment horizontal="left" vertical="center" wrapText="1" readingOrder="1"/>
    </xf>
    <xf numFmtId="0" fontId="7" fillId="3" borderId="3" xfId="0" quotePrefix="1" applyFont="1" applyFill="1" applyBorder="1" applyAlignment="1">
      <alignment horizontal="center" vertical="center" wrapText="1" readingOrder="1"/>
    </xf>
  </cellXfs>
  <cellStyles count="2">
    <cellStyle name="Good" xfId="1" builtinId="26"/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2.bin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B1669-4D19-42D8-86BB-E55FDF20445A}">
  <dimension ref="A1:Z30"/>
  <sheetViews>
    <sheetView tabSelected="1" zoomScale="85" zoomScaleNormal="85" workbookViewId="0">
      <selection sqref="A1:Q9"/>
    </sheetView>
  </sheetViews>
  <sheetFormatPr defaultColWidth="9.109375" defaultRowHeight="14.4" x14ac:dyDescent="0.3"/>
  <cols>
    <col min="1" max="3" width="8.88671875" style="4"/>
    <col min="4" max="4" width="13.109375" style="4" customWidth="1"/>
    <col min="5" max="5" width="11.5546875" style="4" customWidth="1"/>
    <col min="6" max="6" width="11.109375" style="4" customWidth="1"/>
    <col min="7" max="7" width="20.6640625" style="4" customWidth="1"/>
    <col min="8" max="8" width="13.109375" style="4" customWidth="1"/>
    <col min="9" max="9" width="13.88671875" style="4" customWidth="1"/>
    <col min="10" max="10" width="14.44140625" style="4" customWidth="1"/>
    <col min="11" max="11" width="10.109375" style="4" customWidth="1"/>
    <col min="12" max="12" width="9.109375" style="4"/>
    <col min="13" max="13" width="12" style="4" customWidth="1"/>
    <col min="14" max="14" width="11.33203125" style="4" customWidth="1"/>
    <col min="15" max="15" width="23.109375" style="4" customWidth="1"/>
    <col min="16" max="16" width="17.109375" style="4" customWidth="1"/>
    <col min="17" max="17" width="30.44140625" style="4" customWidth="1"/>
    <col min="18" max="18" width="12.44140625" style="4" customWidth="1"/>
    <col min="19" max="19" width="13.109375" style="4" customWidth="1"/>
    <col min="20" max="22" width="10.88671875" style="4" customWidth="1"/>
    <col min="23" max="23" width="12.109375" style="4" bestFit="1" customWidth="1"/>
    <col min="24" max="26" width="10.88671875" style="4" customWidth="1"/>
  </cols>
  <sheetData>
    <row r="1" spans="1:26" s="1" customFormat="1" ht="42.6" customHeight="1" thickBo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7" t="s">
        <v>17</v>
      </c>
      <c r="S1" s="7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7" t="s">
        <v>23</v>
      </c>
      <c r="Y1" s="7" t="s">
        <v>24</v>
      </c>
      <c r="Z1" s="7" t="s">
        <v>25</v>
      </c>
    </row>
    <row r="2" spans="1:26" s="1" customFormat="1" ht="94.2" customHeight="1" thickBot="1" x14ac:dyDescent="0.35">
      <c r="A2" s="6">
        <v>1</v>
      </c>
      <c r="B2" s="6" t="s">
        <v>28</v>
      </c>
      <c r="C2" s="6" t="s">
        <v>26</v>
      </c>
      <c r="D2" s="6" t="s">
        <v>29</v>
      </c>
      <c r="E2" s="9" t="s">
        <v>44</v>
      </c>
      <c r="F2" s="9" t="s">
        <v>45</v>
      </c>
      <c r="G2" s="13">
        <v>110000031312</v>
      </c>
      <c r="H2" s="6" t="s">
        <v>46</v>
      </c>
      <c r="I2" s="6" t="s">
        <v>47</v>
      </c>
      <c r="J2" s="6" t="s">
        <v>48</v>
      </c>
      <c r="K2" s="9" t="s">
        <v>49</v>
      </c>
      <c r="L2" s="9" t="s">
        <v>33</v>
      </c>
      <c r="M2" s="6" t="s">
        <v>50</v>
      </c>
      <c r="N2" s="6" t="s">
        <v>51</v>
      </c>
      <c r="O2" s="12" t="s">
        <v>98</v>
      </c>
      <c r="P2" s="43" t="s">
        <v>101</v>
      </c>
      <c r="Q2" s="11" t="s">
        <v>100</v>
      </c>
      <c r="R2" s="9" t="s">
        <v>56</v>
      </c>
      <c r="S2" s="6" t="s">
        <v>57</v>
      </c>
      <c r="T2" s="9">
        <v>593489</v>
      </c>
      <c r="U2" s="9">
        <v>4154424</v>
      </c>
      <c r="V2" s="5">
        <f>(0.338-0.6636)*T2</f>
        <v>-193240.01839999997</v>
      </c>
      <c r="W2" s="5">
        <f>(0.338-0.6636)*U2</f>
        <v>-1352680.4543999997</v>
      </c>
      <c r="X2" s="9">
        <v>0</v>
      </c>
      <c r="Y2" s="6">
        <v>0</v>
      </c>
      <c r="Z2" s="10">
        <f t="shared" ref="Z2" si="0">Y2-X2</f>
        <v>0</v>
      </c>
    </row>
    <row r="3" spans="1:26" s="1" customFormat="1" ht="49.95" customHeight="1" thickBot="1" x14ac:dyDescent="0.35">
      <c r="A3" s="6">
        <v>2</v>
      </c>
      <c r="B3" s="6" t="s">
        <v>28</v>
      </c>
      <c r="C3" s="6" t="s">
        <v>26</v>
      </c>
      <c r="D3" s="6" t="s">
        <v>29</v>
      </c>
      <c r="E3" s="9" t="s">
        <v>44</v>
      </c>
      <c r="F3" s="9" t="s">
        <v>45</v>
      </c>
      <c r="G3" s="13">
        <v>110000031314</v>
      </c>
      <c r="H3" s="6" t="s">
        <v>46</v>
      </c>
      <c r="I3" s="6" t="s">
        <v>52</v>
      </c>
      <c r="J3" s="6" t="s">
        <v>48</v>
      </c>
      <c r="K3" s="9" t="s">
        <v>49</v>
      </c>
      <c r="L3" s="9" t="s">
        <v>33</v>
      </c>
      <c r="M3" s="6" t="s">
        <v>53</v>
      </c>
      <c r="N3" s="6" t="s">
        <v>54</v>
      </c>
      <c r="O3" s="6"/>
      <c r="P3" s="43" t="s">
        <v>99</v>
      </c>
      <c r="Q3" s="11" t="s">
        <v>103</v>
      </c>
      <c r="R3" s="9" t="s">
        <v>55</v>
      </c>
      <c r="S3" s="6" t="s">
        <v>58</v>
      </c>
      <c r="T3" s="9">
        <v>318202</v>
      </c>
      <c r="U3" s="9">
        <v>2227414</v>
      </c>
      <c r="V3" s="5">
        <f>(0.5564-0.5655)*T3</f>
        <v>-2895.638199999999</v>
      </c>
      <c r="W3" s="5">
        <f>(0.5564-0.5655)*U3</f>
        <v>-20269.467399999994</v>
      </c>
      <c r="X3" s="9">
        <v>0</v>
      </c>
      <c r="Y3" s="6">
        <v>0</v>
      </c>
      <c r="Z3" s="10">
        <f t="shared" ref="Z3" si="1">Y3-X3</f>
        <v>0</v>
      </c>
    </row>
    <row r="4" spans="1:26" s="1" customFormat="1" ht="49.95" customHeight="1" thickBot="1" x14ac:dyDescent="0.35">
      <c r="A4" s="6">
        <v>3</v>
      </c>
      <c r="B4" s="6" t="s">
        <v>28</v>
      </c>
      <c r="C4" s="6" t="s">
        <v>64</v>
      </c>
      <c r="D4" s="6" t="s">
        <v>29</v>
      </c>
      <c r="E4" s="6" t="s">
        <v>43</v>
      </c>
      <c r="F4" s="9" t="s">
        <v>69</v>
      </c>
      <c r="G4" s="9" t="s">
        <v>65</v>
      </c>
      <c r="H4" s="9" t="s">
        <v>66</v>
      </c>
      <c r="I4" s="9" t="s">
        <v>67</v>
      </c>
      <c r="J4" s="6" t="s">
        <v>76</v>
      </c>
      <c r="K4" s="9" t="s">
        <v>68</v>
      </c>
      <c r="L4" s="9" t="s">
        <v>27</v>
      </c>
      <c r="M4" s="6" t="s">
        <v>70</v>
      </c>
      <c r="N4" s="6" t="s">
        <v>71</v>
      </c>
      <c r="O4" s="12" t="s">
        <v>102</v>
      </c>
      <c r="P4" s="38" t="s">
        <v>104</v>
      </c>
      <c r="Q4" s="11" t="s">
        <v>105</v>
      </c>
      <c r="R4" s="9" t="s">
        <v>74</v>
      </c>
      <c r="S4" s="6" t="s">
        <v>75</v>
      </c>
      <c r="T4" s="9">
        <v>666396</v>
      </c>
      <c r="U4" s="9">
        <v>4664000</v>
      </c>
      <c r="V4" s="5">
        <f>(0.33-0.39)*T4</f>
        <v>-39983.760000000002</v>
      </c>
      <c r="W4" s="5">
        <f>(0.33-0.39)*U4</f>
        <v>-279840</v>
      </c>
      <c r="X4" s="9">
        <v>0</v>
      </c>
      <c r="Y4" s="6">
        <v>0</v>
      </c>
      <c r="Z4" s="10">
        <v>0</v>
      </c>
    </row>
    <row r="5" spans="1:26" s="1" customFormat="1" ht="49.95" customHeight="1" thickBot="1" x14ac:dyDescent="0.35">
      <c r="A5" s="16">
        <v>4</v>
      </c>
      <c r="B5" s="6" t="s">
        <v>28</v>
      </c>
      <c r="C5" s="6" t="s">
        <v>26</v>
      </c>
      <c r="D5" s="6" t="s">
        <v>29</v>
      </c>
      <c r="E5" s="9" t="s">
        <v>59</v>
      </c>
      <c r="F5" s="9" t="s">
        <v>60</v>
      </c>
      <c r="G5" s="13" t="s">
        <v>62</v>
      </c>
      <c r="H5" s="6" t="s">
        <v>37</v>
      </c>
      <c r="I5" s="6" t="s">
        <v>30</v>
      </c>
      <c r="J5" s="6" t="s">
        <v>31</v>
      </c>
      <c r="K5" s="36" t="s">
        <v>32</v>
      </c>
      <c r="L5" s="34" t="s">
        <v>27</v>
      </c>
      <c r="M5" s="16" t="s">
        <v>73</v>
      </c>
      <c r="N5" s="16" t="s">
        <v>34</v>
      </c>
      <c r="O5" s="28" t="s">
        <v>106</v>
      </c>
      <c r="P5" s="39" t="s">
        <v>104</v>
      </c>
      <c r="Q5" s="41" t="s">
        <v>107</v>
      </c>
      <c r="R5" s="11" t="s">
        <v>61</v>
      </c>
      <c r="S5" s="11" t="s">
        <v>61</v>
      </c>
      <c r="T5" s="9">
        <f>1380050</f>
        <v>1380050</v>
      </c>
      <c r="U5" s="9">
        <f>9660350</f>
        <v>9660350</v>
      </c>
      <c r="V5" s="5">
        <f>(0.3258-0.3258)*T5</f>
        <v>0</v>
      </c>
      <c r="W5" s="5">
        <f>(0.3258-0.3258)*U5</f>
        <v>0</v>
      </c>
      <c r="X5" s="9">
        <v>0</v>
      </c>
      <c r="Y5" s="6">
        <v>0</v>
      </c>
      <c r="Z5" s="10">
        <v>0</v>
      </c>
    </row>
    <row r="6" spans="1:26" s="1" customFormat="1" ht="49.95" customHeight="1" thickBot="1" x14ac:dyDescent="0.35">
      <c r="A6" s="18"/>
      <c r="B6" s="6" t="s">
        <v>28</v>
      </c>
      <c r="C6" s="6" t="s">
        <v>26</v>
      </c>
      <c r="D6" s="6" t="s">
        <v>77</v>
      </c>
      <c r="E6" s="9" t="s">
        <v>59</v>
      </c>
      <c r="F6" s="9" t="s">
        <v>60</v>
      </c>
      <c r="G6" s="13" t="s">
        <v>63</v>
      </c>
      <c r="H6" s="6" t="s">
        <v>37</v>
      </c>
      <c r="I6" s="6" t="s">
        <v>30</v>
      </c>
      <c r="J6" s="6" t="s">
        <v>31</v>
      </c>
      <c r="K6" s="37"/>
      <c r="L6" s="35"/>
      <c r="M6" s="18"/>
      <c r="N6" s="18"/>
      <c r="O6" s="29"/>
      <c r="P6" s="40"/>
      <c r="Q6" s="42"/>
      <c r="R6" s="11" t="s">
        <v>61</v>
      </c>
      <c r="S6" s="11" t="s">
        <v>61</v>
      </c>
      <c r="T6" s="9">
        <v>333900</v>
      </c>
      <c r="U6" s="9">
        <v>2337300</v>
      </c>
      <c r="V6" s="5">
        <f>(0.3258-0.3258)*T6</f>
        <v>0</v>
      </c>
      <c r="W6" s="5">
        <f>(0.3258-0.3258)*U6</f>
        <v>0</v>
      </c>
      <c r="X6" s="9">
        <v>0</v>
      </c>
      <c r="Y6" s="6">
        <v>0</v>
      </c>
      <c r="Z6" s="10">
        <v>0</v>
      </c>
    </row>
    <row r="7" spans="1:26" s="1" customFormat="1" ht="75.599999999999994" customHeight="1" thickBot="1" x14ac:dyDescent="0.35">
      <c r="A7" s="6">
        <v>5</v>
      </c>
      <c r="B7" s="6" t="s">
        <v>35</v>
      </c>
      <c r="C7" s="6" t="s">
        <v>26</v>
      </c>
      <c r="D7" s="6" t="s">
        <v>36</v>
      </c>
      <c r="E7" s="9" t="s">
        <v>59</v>
      </c>
      <c r="F7" s="9" t="s">
        <v>60</v>
      </c>
      <c r="G7" s="13">
        <v>110000226157</v>
      </c>
      <c r="H7" s="6" t="s">
        <v>37</v>
      </c>
      <c r="I7" s="6" t="s">
        <v>38</v>
      </c>
      <c r="J7" s="6" t="s">
        <v>39</v>
      </c>
      <c r="K7" s="9" t="s">
        <v>40</v>
      </c>
      <c r="L7" s="9" t="s">
        <v>33</v>
      </c>
      <c r="M7" s="6" t="s">
        <v>72</v>
      </c>
      <c r="N7" s="6" t="s">
        <v>86</v>
      </c>
      <c r="O7" s="12" t="s">
        <v>108</v>
      </c>
      <c r="P7" s="43" t="s">
        <v>99</v>
      </c>
      <c r="Q7" s="11"/>
      <c r="R7" s="9" t="s">
        <v>41</v>
      </c>
      <c r="S7" s="6" t="s">
        <v>42</v>
      </c>
      <c r="T7" s="9">
        <v>184720</v>
      </c>
      <c r="U7" s="9">
        <v>1477757</v>
      </c>
      <c r="V7" s="5">
        <f>+(0.618-0.667)*T7</f>
        <v>-9051.2800000000079</v>
      </c>
      <c r="W7" s="5">
        <f>+(0.618-0.667)*U7</f>
        <v>-72410.093000000066</v>
      </c>
      <c r="X7" s="9">
        <v>0</v>
      </c>
      <c r="Y7" s="6">
        <v>0</v>
      </c>
      <c r="Z7" s="10">
        <v>0</v>
      </c>
    </row>
    <row r="8" spans="1:26" s="1" customFormat="1" ht="49.95" customHeight="1" thickBot="1" x14ac:dyDescent="0.35">
      <c r="A8" s="16">
        <v>6</v>
      </c>
      <c r="B8" s="6" t="s">
        <v>35</v>
      </c>
      <c r="C8" s="6" t="s">
        <v>26</v>
      </c>
      <c r="D8" s="6" t="s">
        <v>95</v>
      </c>
      <c r="E8" s="6" t="s">
        <v>82</v>
      </c>
      <c r="F8" s="9" t="s">
        <v>83</v>
      </c>
      <c r="G8" s="9" t="s">
        <v>78</v>
      </c>
      <c r="H8" s="9" t="s">
        <v>93</v>
      </c>
      <c r="I8" s="9" t="s">
        <v>80</v>
      </c>
      <c r="J8" s="6" t="s">
        <v>84</v>
      </c>
      <c r="K8" s="19" t="s">
        <v>85</v>
      </c>
      <c r="L8" s="32" t="s">
        <v>33</v>
      </c>
      <c r="M8" s="16" t="s">
        <v>87</v>
      </c>
      <c r="N8" s="16" t="s">
        <v>88</v>
      </c>
      <c r="O8" s="28" t="s">
        <v>96</v>
      </c>
      <c r="P8" s="30" t="s">
        <v>97</v>
      </c>
      <c r="Q8" s="11"/>
      <c r="R8" s="9" t="s">
        <v>89</v>
      </c>
      <c r="S8" s="9" t="s">
        <v>90</v>
      </c>
      <c r="T8" s="9">
        <v>250778</v>
      </c>
      <c r="U8" s="9">
        <v>2257000</v>
      </c>
      <c r="V8" s="5">
        <f>(0.3794-0.39)*T8</f>
        <v>-2658.2467999999994</v>
      </c>
      <c r="W8" s="5">
        <f>(0.3794-0.39)*U8</f>
        <v>-23924.199999999997</v>
      </c>
      <c r="X8" s="9">
        <v>0</v>
      </c>
      <c r="Y8" s="6">
        <v>0</v>
      </c>
      <c r="Z8" s="10">
        <v>0</v>
      </c>
    </row>
    <row r="9" spans="1:26" s="1" customFormat="1" ht="49.95" customHeight="1" thickBot="1" x14ac:dyDescent="0.35">
      <c r="A9" s="18"/>
      <c r="B9" s="6" t="s">
        <v>35</v>
      </c>
      <c r="C9" s="6" t="s">
        <v>26</v>
      </c>
      <c r="D9" s="6" t="s">
        <v>95</v>
      </c>
      <c r="E9" s="9" t="s">
        <v>82</v>
      </c>
      <c r="F9" s="9" t="s">
        <v>83</v>
      </c>
      <c r="G9" s="9" t="s">
        <v>79</v>
      </c>
      <c r="H9" s="6" t="s">
        <v>94</v>
      </c>
      <c r="I9" s="6" t="s">
        <v>81</v>
      </c>
      <c r="J9" s="6" t="s">
        <v>84</v>
      </c>
      <c r="K9" s="21"/>
      <c r="L9" s="33"/>
      <c r="M9" s="18"/>
      <c r="N9" s="18"/>
      <c r="O9" s="29"/>
      <c r="P9" s="31"/>
      <c r="Q9" s="11"/>
      <c r="R9" s="9" t="s">
        <v>91</v>
      </c>
      <c r="S9" s="6" t="s">
        <v>92</v>
      </c>
      <c r="T9" s="9">
        <v>38111</v>
      </c>
      <c r="U9" s="9">
        <v>343000</v>
      </c>
      <c r="V9" s="5">
        <f>(0.397-0.4)*T9</f>
        <v>-114.3330000000001</v>
      </c>
      <c r="W9" s="5">
        <f>(0.397-0.4)*U9</f>
        <v>-1029.0000000000009</v>
      </c>
      <c r="X9" s="9">
        <v>0</v>
      </c>
      <c r="Y9" s="6">
        <v>0</v>
      </c>
      <c r="Z9" s="10">
        <v>0</v>
      </c>
    </row>
    <row r="10" spans="1:26" s="1" customFormat="1" ht="118.35" customHeight="1" thickBot="1" x14ac:dyDescent="0.35">
      <c r="A10" s="16"/>
      <c r="B10" s="6"/>
      <c r="C10" s="6"/>
      <c r="D10" s="6"/>
      <c r="E10" s="9"/>
      <c r="F10" s="9"/>
      <c r="G10" s="6"/>
      <c r="H10" s="6"/>
      <c r="I10" s="6"/>
      <c r="J10" s="6"/>
      <c r="K10" s="9"/>
      <c r="L10" s="19"/>
      <c r="M10" s="16"/>
      <c r="N10" s="16"/>
      <c r="O10" s="25"/>
      <c r="P10" s="22"/>
      <c r="Q10" s="11"/>
      <c r="R10" s="9"/>
      <c r="S10" s="6"/>
      <c r="T10" s="9"/>
      <c r="U10" s="9"/>
      <c r="V10" s="5"/>
      <c r="W10" s="5"/>
      <c r="X10" s="9"/>
      <c r="Y10" s="6"/>
      <c r="Z10" s="10"/>
    </row>
    <row r="11" spans="1:26" s="1" customFormat="1" ht="118.35" customHeight="1" thickBot="1" x14ac:dyDescent="0.35">
      <c r="A11" s="17"/>
      <c r="B11" s="6"/>
      <c r="C11" s="6"/>
      <c r="D11" s="6"/>
      <c r="E11" s="9"/>
      <c r="F11" s="9"/>
      <c r="G11" s="6"/>
      <c r="H11" s="6"/>
      <c r="I11" s="6"/>
      <c r="J11" s="6"/>
      <c r="K11" s="9"/>
      <c r="L11" s="20"/>
      <c r="M11" s="17"/>
      <c r="N11" s="17"/>
      <c r="O11" s="26"/>
      <c r="P11" s="23"/>
      <c r="Q11" s="11"/>
      <c r="R11" s="9"/>
      <c r="S11" s="9"/>
      <c r="T11" s="9"/>
      <c r="U11" s="9"/>
      <c r="V11" s="5"/>
      <c r="W11" s="5"/>
      <c r="X11" s="9"/>
      <c r="Y11" s="6"/>
      <c r="Z11" s="10"/>
    </row>
    <row r="12" spans="1:26" s="1" customFormat="1" ht="118.35" customHeight="1" thickBot="1" x14ac:dyDescent="0.35">
      <c r="A12" s="18"/>
      <c r="B12" s="6"/>
      <c r="C12" s="6"/>
      <c r="D12" s="6"/>
      <c r="E12" s="9"/>
      <c r="F12" s="9"/>
      <c r="G12" s="6"/>
      <c r="H12" s="6"/>
      <c r="I12" s="6"/>
      <c r="J12" s="6"/>
      <c r="K12" s="9"/>
      <c r="L12" s="21"/>
      <c r="M12" s="18"/>
      <c r="N12" s="18"/>
      <c r="O12" s="27"/>
      <c r="P12" s="24"/>
      <c r="Q12" s="11"/>
      <c r="R12" s="9"/>
      <c r="S12" s="9"/>
      <c r="T12" s="9"/>
      <c r="U12" s="9"/>
      <c r="V12" s="5"/>
      <c r="W12" s="5"/>
      <c r="X12" s="9"/>
      <c r="Y12" s="6"/>
      <c r="Z12" s="10"/>
    </row>
    <row r="13" spans="1:26" s="1" customFormat="1" ht="118.35" customHeight="1" thickBot="1" x14ac:dyDescent="0.35">
      <c r="A13" s="6"/>
      <c r="B13" s="6"/>
      <c r="C13" s="6"/>
      <c r="D13" s="6"/>
      <c r="E13" s="9"/>
      <c r="F13" s="9"/>
      <c r="G13" s="13"/>
      <c r="H13" s="6"/>
      <c r="I13" s="6"/>
      <c r="J13" s="6"/>
      <c r="K13" s="9"/>
      <c r="L13" s="9"/>
      <c r="M13" s="9"/>
      <c r="N13" s="9"/>
      <c r="O13" s="6"/>
      <c r="P13" s="15"/>
      <c r="Q13" s="11"/>
      <c r="R13" s="9"/>
      <c r="S13" s="6"/>
      <c r="T13" s="9"/>
      <c r="U13" s="9"/>
      <c r="V13" s="5"/>
      <c r="W13" s="5"/>
      <c r="X13" s="9"/>
      <c r="Y13" s="6"/>
      <c r="Z13" s="10"/>
    </row>
    <row r="14" spans="1:26" s="1" customFormat="1" ht="118.35" customHeight="1" thickBot="1" x14ac:dyDescent="0.35">
      <c r="A14" s="14"/>
      <c r="B14" s="6"/>
      <c r="C14" s="6"/>
      <c r="D14" s="6"/>
      <c r="E14" s="9"/>
      <c r="F14" s="9"/>
      <c r="G14" s="13"/>
      <c r="H14" s="6"/>
      <c r="I14" s="6"/>
      <c r="J14" s="6"/>
      <c r="K14" s="9"/>
      <c r="L14" s="9"/>
      <c r="M14" s="9"/>
      <c r="N14" s="9"/>
      <c r="O14" s="6"/>
      <c r="P14" s="15"/>
      <c r="Q14" s="11"/>
      <c r="R14" s="9"/>
      <c r="S14" s="6"/>
      <c r="T14" s="9"/>
      <c r="U14" s="9"/>
      <c r="V14" s="5"/>
      <c r="W14" s="5"/>
      <c r="X14" s="9"/>
      <c r="Y14" s="6"/>
      <c r="Z14" s="10"/>
    </row>
    <row r="15" spans="1:26" s="1" customFormat="1" ht="42.6" customHeight="1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s="1" customFormat="1" ht="42.6" customHeight="1" x14ac:dyDescent="0.3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s="1" customFormat="1" ht="42.6" customHeight="1" x14ac:dyDescent="0.3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s="1" customFormat="1" ht="42.6" customHeight="1" x14ac:dyDescent="0.3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s="1" customFormat="1" ht="42.6" customHeight="1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s="1" customFormat="1" ht="42.6" customHeight="1" x14ac:dyDescent="0.3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s="1" customFormat="1" ht="42.6" customHeight="1" x14ac:dyDescent="0.3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s="1" customFormat="1" ht="42.6" customHeight="1" x14ac:dyDescent="0.3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s="1" customFormat="1" ht="42.6" customHeight="1" x14ac:dyDescent="0.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s="1" customFormat="1" ht="42.6" customHeight="1" x14ac:dyDescent="0.3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s="1" customFormat="1" ht="42.6" customHeight="1" x14ac:dyDescent="0.3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s="1" customFormat="1" ht="42.6" customHeight="1" x14ac:dyDescent="0.3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s="1" customFormat="1" ht="42.6" customHeight="1" x14ac:dyDescent="0.3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s="1" customFormat="1" ht="42.6" customHeight="1" x14ac:dyDescent="0.3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s="1" customFormat="1" ht="42.6" customHeight="1" x14ac:dyDescent="0.3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s="1" customFormat="1" ht="42.6" customHeight="1" x14ac:dyDescent="0.3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</sheetData>
  <mergeCells count="21">
    <mergeCell ref="Q5:Q6"/>
    <mergeCell ref="P5:P6"/>
    <mergeCell ref="M8:M9"/>
    <mergeCell ref="N8:N9"/>
    <mergeCell ref="O8:O9"/>
    <mergeCell ref="P8:P9"/>
    <mergeCell ref="A5:A6"/>
    <mergeCell ref="A8:A9"/>
    <mergeCell ref="K8:K9"/>
    <mergeCell ref="L8:L9"/>
    <mergeCell ref="L5:L6"/>
    <mergeCell ref="K5:K6"/>
    <mergeCell ref="M5:M6"/>
    <mergeCell ref="N5:N6"/>
    <mergeCell ref="O5:O6"/>
    <mergeCell ref="A10:A12"/>
    <mergeCell ref="L10:L12"/>
    <mergeCell ref="M10:M12"/>
    <mergeCell ref="N10:N12"/>
    <mergeCell ref="P10:P12"/>
    <mergeCell ref="O10:O12"/>
  </mergeCells>
  <phoneticPr fontId="6" type="noConversion"/>
  <conditionalFormatting sqref="V1 Z1:Z1048576 V15:V1048576">
    <cfRule type="cellIs" dxfId="3" priority="84" operator="lessThan">
      <formula>0</formula>
    </cfRule>
  </conditionalFormatting>
  <conditionalFormatting sqref="V2:W14">
    <cfRule type="cellIs" dxfId="2" priority="1" operator="greaterThan">
      <formula>0</formula>
    </cfRule>
    <cfRule type="cellIs" dxfId="1" priority="2" operator="lessThan">
      <formula>0</formula>
    </cfRule>
  </conditionalFormatting>
  <conditionalFormatting sqref="Z2:Z14">
    <cfRule type="cellIs" dxfId="0" priority="3" operator="greaterThan">
      <formula>0</formula>
    </cfRule>
  </conditionalFormatting>
  <pageMargins left="0.7" right="0.7" top="0.75" bottom="0.75" header="0.3" footer="0.3"/>
  <pageSetup orientation="portrait" r:id="rId1"/>
  <customProperties>
    <customPr name="_pios_id" r:id="rId2"/>
    <customPr name="IbpWorksheetKeyString_GUID" r:id="rId3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D2AE94798D0E7D4487CB84FC9A87565D" ma:contentTypeVersion="10" ma:contentTypeDescription="Ein neues Dokument erstellen." ma:contentTypeScope="" ma:versionID="728a42373757fe19dbf32cb01accea12">
  <xsd:schema xmlns:xsd="http://www.w3.org/2001/XMLSchema" xmlns:xs="http://www.w3.org/2001/XMLSchema" xmlns:p="http://schemas.microsoft.com/office/2006/metadata/properties" xmlns:ns2="c58f02bd-e0b7-474b-a2bc-9a19f162f3a8" xmlns:ns3="b7d00205-0ffb-4bc2-b18e-b800942d8fea" targetNamespace="http://schemas.microsoft.com/office/2006/metadata/properties" ma:root="true" ma:fieldsID="86d1219d07439347edf1a7dd06578600" ns2:_="" ns3:_="">
    <xsd:import namespace="c58f02bd-e0b7-474b-a2bc-9a19f162f3a8"/>
    <xsd:import namespace="b7d00205-0ffb-4bc2-b18e-b800942d8fe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8f02bd-e0b7-474b-a2bc-9a19f162f3a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ildmarkierungen" ma:readOnly="false" ma:fieldId="{5cf76f15-5ced-4ddc-b409-7134ff3c332f}" ma:taxonomyMulti="true" ma:sspId="42c1abb6-7528-48c8-bade-a0efe805682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d00205-0ffb-4bc2-b18e-b800942d8fe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0f941d5-66b0-4dcf-b0f6-17179381c1ce}" ma:internalName="TaxCatchAll" ma:showField="CatchAllData" ma:web="b7d00205-0ffb-4bc2-b18e-b800942d8f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7d00205-0ffb-4bc2-b18e-b800942d8fea" xsi:nil="true"/>
    <lcf76f155ced4ddcb4097134ff3c332f xmlns="c58f02bd-e0b7-474b-a2bc-9a19f162f3a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158C8EB-B234-40D6-93FC-9E4594A84182}"/>
</file>

<file path=customXml/itemProps2.xml><?xml version="1.0" encoding="utf-8"?>
<ds:datastoreItem xmlns:ds="http://schemas.openxmlformats.org/officeDocument/2006/customXml" ds:itemID="{E421B66D-7C54-4FB1-9E1B-4B4C714811F8}"/>
</file>

<file path=customXml/itemProps3.xml><?xml version="1.0" encoding="utf-8"?>
<ds:datastoreItem xmlns:ds="http://schemas.openxmlformats.org/officeDocument/2006/customXml" ds:itemID="{BD12C4D4-75DD-438F-A754-FB7B919C7417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KW18, 2026</vt:lpstr>
    </vt:vector>
  </TitlesOfParts>
  <Manager/>
  <Company>RVNA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Xiangwei Chen ALF RPSBE1</dc:creator>
  <cp:keywords/>
  <dc:description/>
  <cp:lastModifiedBy>Xiangwei Chen ALF RPSBE1</cp:lastModifiedBy>
  <cp:revision/>
  <dcterms:created xsi:type="dcterms:W3CDTF">2025-09-02T13:26:50Z</dcterms:created>
  <dcterms:modified xsi:type="dcterms:W3CDTF">2026-04-29T11:57:48Z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557171-d5a2-4c27-b720-d0ccc7e87f50_Enabled">
    <vt:lpwstr>true</vt:lpwstr>
  </property>
  <property fmtid="{D5CDD505-2E9C-101B-9397-08002B2CF9AE}" pid="3" name="MSIP_Label_1b557171-d5a2-4c27-b720-d0ccc7e87f50_SetDate">
    <vt:lpwstr>2025-09-02T13:33:29Z</vt:lpwstr>
  </property>
  <property fmtid="{D5CDD505-2E9C-101B-9397-08002B2CF9AE}" pid="4" name="MSIP_Label_1b557171-d5a2-4c27-b720-d0ccc7e87f50_Method">
    <vt:lpwstr>Privileged</vt:lpwstr>
  </property>
  <property fmtid="{D5CDD505-2E9C-101B-9397-08002B2CF9AE}" pid="5" name="MSIP_Label_1b557171-d5a2-4c27-b720-d0ccc7e87f50_Name">
    <vt:lpwstr>RVNA Confidential Sub_2</vt:lpwstr>
  </property>
  <property fmtid="{D5CDD505-2E9C-101B-9397-08002B2CF9AE}" pid="6" name="MSIP_Label_1b557171-d5a2-4c27-b720-d0ccc7e87f50_SiteId">
    <vt:lpwstr>87f9dc52-94b9-4266-8431-8be91e1f699c</vt:lpwstr>
  </property>
  <property fmtid="{D5CDD505-2E9C-101B-9397-08002B2CF9AE}" pid="7" name="MSIP_Label_1b557171-d5a2-4c27-b720-d0ccc7e87f50_ActionId">
    <vt:lpwstr>9560bc8f-fcd9-47ac-b9f2-f7340a6dea54</vt:lpwstr>
  </property>
  <property fmtid="{D5CDD505-2E9C-101B-9397-08002B2CF9AE}" pid="8" name="MSIP_Label_1b557171-d5a2-4c27-b720-d0ccc7e87f50_ContentBits">
    <vt:lpwstr>1</vt:lpwstr>
  </property>
  <property fmtid="{D5CDD505-2E9C-101B-9397-08002B2CF9AE}" pid="9" name="IbpWorkbookKeyString_GUID">
    <vt:lpwstr>38fc2b40-ce9d-4aa7-a82c-e708adc4547a</vt:lpwstr>
  </property>
  <property fmtid="{D5CDD505-2E9C-101B-9397-08002B2CF9AE}" pid="10" name="ContentTypeId">
    <vt:lpwstr>0x010100D2AE94798D0E7D4487CB84FC9A87565D</vt:lpwstr>
  </property>
</Properties>
</file>