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2026/Sourcing Alignment meeting/KW06, 04.02.2026/"/>
    </mc:Choice>
  </mc:AlternateContent>
  <xr:revisionPtr revIDLastSave="4" documentId="8_{6855ACA0-34F4-45CE-BBB1-3949581626D3}" xr6:coauthVersionLast="47" xr6:coauthVersionMax="47" xr10:uidLastSave="{6BEB2D3E-760F-567C-9D8F-357D28501F50}"/>
  <bookViews>
    <workbookView xWindow="28680" yWindow="-120" windowWidth="29040" windowHeight="15720" xr2:uid="{00000000-000D-0000-FFFF-FFFF00000000}"/>
  </bookViews>
  <sheets>
    <sheet name="KW05, 2026" sheetId="4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4" l="1"/>
  <c r="W4" i="4"/>
  <c r="V4" i="4"/>
  <c r="Z2" i="4"/>
  <c r="Z3" i="4"/>
  <c r="V2" i="4"/>
  <c r="W2" i="4"/>
  <c r="W3" i="4"/>
  <c r="V3" i="4"/>
</calcChain>
</file>

<file path=xl/sharedStrings.xml><?xml version="1.0" encoding="utf-8"?>
<sst xmlns="http://schemas.openxmlformats.org/spreadsheetml/2006/main" count="78" uniqueCount="69">
  <si>
    <t>#</t>
  </si>
  <si>
    <t>Region</t>
  </si>
  <si>
    <t>Type</t>
  </si>
  <si>
    <t xml:space="preserve">LT Spend </t>
  </si>
  <si>
    <t>Project/ Product</t>
  </si>
  <si>
    <t>Commodity</t>
  </si>
  <si>
    <t>Presenter</t>
  </si>
  <si>
    <t>Decision Level</t>
  </si>
  <si>
    <t>Peak Year Spend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</si>
  <si>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</si>
  <si>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</si>
  <si>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</si>
  <si>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</si>
  <si>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</si>
  <si>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</si>
  <si>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</si>
  <si>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</si>
  <si>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</si>
  <si>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</si>
  <si>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</si>
  <si>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</si>
  <si>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</si>
  <si>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</si>
  <si>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</si>
  <si>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</si>
  <si>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L2</t>
  </si>
  <si>
    <t>GCS</t>
  </si>
  <si>
    <t>Comment</t>
  </si>
  <si>
    <t>NA</t>
  </si>
  <si>
    <t>CH01016</t>
  </si>
  <si>
    <t>CH01</t>
  </si>
  <si>
    <t>Alba Guerra</t>
  </si>
  <si>
    <t>CAGE</t>
  </si>
  <si>
    <t>Wilko Plastics</t>
  </si>
  <si>
    <t>110000221430 B/2025/00293</t>
  </si>
  <si>
    <t>110000221367 B/2025/00293</t>
  </si>
  <si>
    <t>34271488B</t>
  </si>
  <si>
    <t>34324310A</t>
  </si>
  <si>
    <t>GM T1XX-2 PU</t>
  </si>
  <si>
    <t>GM C1UC/UL - 2</t>
  </si>
  <si>
    <t>0,150 USD/pc     0,1363 EUR/pc</t>
  </si>
  <si>
    <t>0,132 USD/pc       0,165 EUR/pc</t>
  </si>
  <si>
    <t>0,1041 USD/pc    0,0946 EUR/pc</t>
  </si>
  <si>
    <t>0,1034 USD/pc       0,09587 EUR/pc</t>
  </si>
  <si>
    <t>2,2 Mio USD
2 Mio Euro</t>
  </si>
  <si>
    <t>331K USD
301K Euro</t>
  </si>
  <si>
    <t>157330 Euro 147025 USD</t>
  </si>
  <si>
    <t>1.9 Mio USD
1.7 Mio Euro</t>
  </si>
  <si>
    <t>290K USD
1.9Mio Euro</t>
  </si>
  <si>
    <t>110000030956</t>
  </si>
  <si>
    <t>SC06</t>
  </si>
  <si>
    <t>BEARING</t>
  </si>
  <si>
    <t>34192429B</t>
  </si>
  <si>
    <t>Engineering Specialties, Inc.</t>
  </si>
  <si>
    <t>Wendy Li</t>
  </si>
  <si>
    <t>L3</t>
  </si>
  <si>
    <t>229K Euro</t>
  </si>
  <si>
    <t>805K Euro</t>
  </si>
  <si>
    <t>SC06005
Cut&amp;Bend|Washers&amp;Discs|Passenger Cars</t>
  </si>
  <si>
    <t>0,083 EUR/pc</t>
  </si>
  <si>
    <t>0,0561 EUR/pc</t>
  </si>
  <si>
    <t>44455 Euro</t>
  </si>
  <si>
    <t>SPR8</t>
  </si>
  <si>
    <t>1. 'Current supplier ACE (AP), resourcing for NA
2. Prices based on different cavitation: ACE 4 cav, Wilko 8 cav, Prism 8 cav.
3. Prism: recent concern of not keeping the committed time.</t>
  </si>
  <si>
    <t>To follow up offline</t>
  </si>
  <si>
    <t>1. ESI 20-24 weeks for FOT, tooling activities started Nov 2025</t>
  </si>
  <si>
    <t>Approved</t>
  </si>
  <si>
    <t>1. CCB2 approved
2. All NA volume will be moved to ESI.
3. USMCA compliance: ESI will produce it out of NA, not just as a dealer.
4. CM Strategy: This bearing or washer is not typical stamping part, need to keep ESI for such parts.</t>
  </si>
  <si>
    <t>1. Wilko Timing: 20 weeks for FOT, 28 weeks for PPAP.
to plan a timing for re-validation -- PM Pradeep
So far we are covering with ACE parts. Additional customer approval will be needed. 
2. To check if tooling will be paid with lumpsum or with amortization. -- PP Mario
3. To present this case to CCB to get CCB2 approval.-- PP Mario
4. To try to re-negotiate with Prism, to see if they can achieve a better cost, to understand the gap between Wilko and Prism, as both are based on 8 cav.  -- CM Alba.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</si>
</sst>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([$€-2]\ * #,##0.00_);_([$€-2]\ * \(#,##0.00\);_([$€-2]\ * &quot;-&quot;??_);_(@_)"/>
    <numFmt numFmtId="165" formatCode="_-[$$-409]* #,##0.00_ ;_-[$$-409]* \-#,##0.00\ ;_-[$$-409]* &quot;-&quot;??_ ;_-@_ "/>
    <numFmt numFmtId="166" formatCode="#,##0\ [$€-407];\-#,##0\ [$€-407]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11"/>
      <color rgb="FF006100"/>
      <name val="Calibri"/>
      <family val="2"/>
      <scheme val="minor"/>
    </font>
    <font>
      <sz val="8"/>
      <color rgb="FF006100"/>
      <name val="Arial"/>
      <family val="2"/>
    </font>
    <font>
      <b/>
      <sz val="8"/>
      <color rgb="FFFFFF00"/>
      <name val="Arial"/>
      <family val="2"/>
    </font>
    <font>
      <b/>
      <sz val="8"/>
      <color theme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/>
      <diagonal/>
    </border>
    <border>
      <left style="medium">
        <color theme="0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 style="medium">
        <color rgb="FFFFFFFF"/>
      </top>
      <bottom/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6" fontId="4" fillId="5" borderId="3" xfId="1" quotePrefix="1" applyNumberFormat="1" applyFont="1" applyBorder="1" applyAlignment="1">
      <alignment horizontal="center" vertical="center" wrapText="1" readingOrder="1"/>
    </xf>
    <xf numFmtId="165" fontId="4" fillId="5" borderId="3" xfId="1" quotePrefix="1" applyNumberFormat="1" applyFont="1" applyBorder="1" applyAlignment="1">
      <alignment horizontal="center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4" fontId="1" fillId="3" borderId="3" xfId="0" quotePrefix="1" applyNumberFormat="1" applyFont="1" applyFill="1" applyBorder="1" applyAlignment="1">
      <alignment horizontal="center" vertical="center" wrapText="1" readingOrder="1"/>
    </xf>
    <xf numFmtId="164" fontId="1" fillId="3" borderId="3" xfId="0" quotePrefix="1" applyNumberFormat="1" applyFont="1" applyFill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center" vertical="center" wrapText="1" readingOrder="1"/>
    </xf>
    <xf numFmtId="44" fontId="4" fillId="5" borderId="3" xfId="1" quotePrefix="1" applyNumberFormat="1" applyFont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6" fillId="3" borderId="3" xfId="0" quotePrefix="1" applyFont="1" applyFill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1" fillId="3" borderId="7" xfId="0" quotePrefix="1" applyFont="1" applyFill="1" applyBorder="1" applyAlignment="1">
      <alignment horizontal="center"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0" fontId="1" fillId="3" borderId="8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0" fontId="1" fillId="3" borderId="9" xfId="0" quotePrefix="1" applyFont="1" applyFill="1" applyBorder="1" applyAlignment="1">
      <alignment horizontal="center" vertical="center" wrapText="1" readingOrder="1"/>
    </xf>
    <xf numFmtId="0" fontId="1" fillId="3" borderId="10" xfId="0" quotePrefix="1" applyFont="1" applyFill="1" applyBorder="1" applyAlignment="1">
      <alignment horizontal="left" vertical="center" wrapText="1" readingOrder="1"/>
    </xf>
    <xf numFmtId="0" fontId="1" fillId="3" borderId="8" xfId="0" quotePrefix="1" applyFont="1" applyFill="1" applyBorder="1" applyAlignment="1">
      <alignment horizontal="left" vertical="center" wrapText="1" readingOrder="1"/>
    </xf>
    <xf numFmtId="0" fontId="5" fillId="3" borderId="6" xfId="0" quotePrefix="1" applyFont="1" applyFill="1" applyBorder="1" applyAlignment="1">
      <alignment horizontal="center" vertical="center" wrapText="1" readingOrder="1"/>
    </xf>
    <xf numFmtId="0" fontId="5" fillId="3" borderId="7" xfId="0" quotePrefix="1" applyFont="1" applyFill="1" applyBorder="1" applyAlignment="1">
      <alignment horizontal="center" vertical="center" wrapText="1" readingOrder="1"/>
    </xf>
    <xf numFmtId="0" fontId="1" fillId="3" borderId="4" xfId="0" quotePrefix="1" applyFont="1" applyFill="1" applyBorder="1" applyAlignment="1">
      <alignment horizontal="left" vertical="center" wrapText="1" readingOrder="1"/>
    </xf>
  </cellXfs>
  <cellStyles count="2">
    <cellStyle name="Good" xfId="1" builtinId="26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Z26"/>
  <sheetViews>
    <sheetView tabSelected="1" zoomScale="115" zoomScaleNormal="115" workbookViewId="0">
      <selection activeCell="Q4" sqref="Q4"/>
    </sheetView>
  </sheetViews>
  <sheetFormatPr defaultColWidth="9.21875" defaultRowHeight="14.4" x14ac:dyDescent="0.3"/>
  <cols>
    <col min="1" max="3" width="8.77734375" style="4"/>
    <col min="4" max="4" width="13.21875" style="4" customWidth="1"/>
    <col min="5" max="5" width="11.5546875" style="4" customWidth="1"/>
    <col min="6" max="7" width="11.21875" style="4" customWidth="1"/>
    <col min="8" max="8" width="10.77734375" style="4" customWidth="1"/>
    <col min="9" max="9" width="13.77734375" style="4" customWidth="1"/>
    <col min="10" max="10" width="14.44140625" style="4" customWidth="1"/>
    <col min="11" max="11" width="10.21875" style="4" customWidth="1"/>
    <col min="12" max="12" width="9.21875" style="4"/>
    <col min="13" max="13" width="12" style="4" customWidth="1"/>
    <col min="14" max="14" width="10.21875" style="4" customWidth="1"/>
    <col min="15" max="15" width="22.21875" style="4" customWidth="1"/>
    <col min="16" max="16" width="17.109375" style="4" customWidth="1"/>
    <col min="17" max="17" width="30.44140625" style="4" customWidth="1"/>
    <col min="18" max="18" width="12.44140625" style="4" customWidth="1"/>
    <col min="19" max="19" width="13.21875" style="4" customWidth="1"/>
    <col min="20" max="22" width="10.77734375" style="4" customWidth="1"/>
    <col min="23" max="23" width="12.21875" style="4" bestFit="1" customWidth="1"/>
    <col min="24" max="26" width="10.77734375" style="4" customWidth="1"/>
  </cols>
  <sheetData>
    <row r="1" spans="1:26" s="1" customFormat="1" ht="42.6" customHeight="1" thickBot="1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15</v>
      </c>
      <c r="G1" s="2" t="s">
        <v>9</v>
      </c>
      <c r="H1" s="2" t="s">
        <v>13</v>
      </c>
      <c r="I1" s="2" t="s">
        <v>10</v>
      </c>
      <c r="J1" s="2" t="s">
        <v>11</v>
      </c>
      <c r="K1" s="2" t="s">
        <v>6</v>
      </c>
      <c r="L1" s="2" t="s">
        <v>7</v>
      </c>
      <c r="M1" s="2" t="s">
        <v>8</v>
      </c>
      <c r="N1" s="2" t="s">
        <v>3</v>
      </c>
      <c r="O1" s="2" t="s">
        <v>27</v>
      </c>
      <c r="P1" s="2" t="s">
        <v>12</v>
      </c>
      <c r="Q1" s="2" t="s">
        <v>14</v>
      </c>
      <c r="R1" s="8" t="s">
        <v>16</v>
      </c>
      <c r="S1" s="8" t="s">
        <v>17</v>
      </c>
      <c r="T1" s="9" t="s">
        <v>18</v>
      </c>
      <c r="U1" s="9" t="s">
        <v>19</v>
      </c>
      <c r="V1" s="9" t="s">
        <v>22</v>
      </c>
      <c r="W1" s="9" t="s">
        <v>20</v>
      </c>
      <c r="X1" s="8" t="s">
        <v>23</v>
      </c>
      <c r="Y1" s="8" t="s">
        <v>21</v>
      </c>
      <c r="Z1" s="8" t="s">
        <v>24</v>
      </c>
    </row>
    <row r="2" spans="1:26" s="1" customFormat="1" ht="84" customHeight="1" thickBot="1" x14ac:dyDescent="0.35">
      <c r="A2" s="17">
        <v>1</v>
      </c>
      <c r="B2" s="19" t="s">
        <v>28</v>
      </c>
      <c r="C2" s="21" t="s">
        <v>26</v>
      </c>
      <c r="D2" s="7" t="s">
        <v>38</v>
      </c>
      <c r="E2" s="21" t="s">
        <v>30</v>
      </c>
      <c r="F2" s="21" t="s">
        <v>29</v>
      </c>
      <c r="G2" s="7" t="s">
        <v>35</v>
      </c>
      <c r="H2" s="7" t="s">
        <v>32</v>
      </c>
      <c r="I2" s="7" t="s">
        <v>36</v>
      </c>
      <c r="J2" s="7" t="s">
        <v>33</v>
      </c>
      <c r="K2" s="7" t="s">
        <v>31</v>
      </c>
      <c r="L2" s="7" t="s">
        <v>25</v>
      </c>
      <c r="M2" s="10" t="s">
        <v>48</v>
      </c>
      <c r="N2" s="10" t="s">
        <v>47</v>
      </c>
      <c r="O2" s="27" t="s">
        <v>63</v>
      </c>
      <c r="P2" s="25" t="s">
        <v>64</v>
      </c>
      <c r="Q2" s="23" t="s">
        <v>68</v>
      </c>
      <c r="R2" s="11" t="s">
        <v>41</v>
      </c>
      <c r="S2" s="11" t="s">
        <v>43</v>
      </c>
      <c r="T2" s="12">
        <v>1977649</v>
      </c>
      <c r="U2" s="12">
        <v>17798840</v>
      </c>
      <c r="V2" s="5">
        <f>(0.1034-0.132)*T2</f>
        <v>-56560.761400000003</v>
      </c>
      <c r="W2" s="5">
        <f>(0.1034-0.132)*U2</f>
        <v>-509046.82400000002</v>
      </c>
      <c r="X2" s="6" t="s">
        <v>46</v>
      </c>
      <c r="Y2" s="6" t="s">
        <v>46</v>
      </c>
      <c r="Z2" s="5">
        <f>147025-147025</f>
        <v>0</v>
      </c>
    </row>
    <row r="3" spans="1:26" s="1" customFormat="1" ht="88.8" customHeight="1" thickBot="1" x14ac:dyDescent="0.35">
      <c r="A3" s="18"/>
      <c r="B3" s="20"/>
      <c r="C3" s="22"/>
      <c r="D3" s="7" t="s">
        <v>39</v>
      </c>
      <c r="E3" s="22"/>
      <c r="F3" s="22"/>
      <c r="G3" s="7" t="s">
        <v>34</v>
      </c>
      <c r="H3" s="7" t="s">
        <v>32</v>
      </c>
      <c r="I3" s="7" t="s">
        <v>37</v>
      </c>
      <c r="J3" s="7" t="s">
        <v>33</v>
      </c>
      <c r="K3" s="7" t="s">
        <v>31</v>
      </c>
      <c r="L3" s="7" t="s">
        <v>25</v>
      </c>
      <c r="M3" s="12" t="s">
        <v>45</v>
      </c>
      <c r="N3" s="12" t="s">
        <v>44</v>
      </c>
      <c r="O3" s="24"/>
      <c r="P3" s="26"/>
      <c r="Q3" s="24"/>
      <c r="R3" s="11" t="s">
        <v>40</v>
      </c>
      <c r="S3" s="11" t="s">
        <v>42</v>
      </c>
      <c r="T3" s="12">
        <v>2303500</v>
      </c>
      <c r="U3" s="12">
        <v>20731503</v>
      </c>
      <c r="V3" s="5">
        <f>(0.1041-0.15)*T3</f>
        <v>-105730.65</v>
      </c>
      <c r="W3" s="5">
        <f>(0.1041-0.15)*U3</f>
        <v>-951575.98769999994</v>
      </c>
      <c r="X3" s="6" t="s">
        <v>46</v>
      </c>
      <c r="Y3" s="6" t="s">
        <v>46</v>
      </c>
      <c r="Z3" s="5">
        <f>147025-147025</f>
        <v>0</v>
      </c>
    </row>
    <row r="4" spans="1:26" s="1" customFormat="1" ht="118.2" customHeight="1" thickBot="1" x14ac:dyDescent="0.35">
      <c r="A4" s="7">
        <v>2</v>
      </c>
      <c r="B4" s="7" t="s">
        <v>28</v>
      </c>
      <c r="C4" s="7" t="s">
        <v>26</v>
      </c>
      <c r="D4" s="7" t="s">
        <v>62</v>
      </c>
      <c r="E4" s="12" t="s">
        <v>50</v>
      </c>
      <c r="F4" s="12" t="s">
        <v>58</v>
      </c>
      <c r="G4" s="7" t="s">
        <v>49</v>
      </c>
      <c r="H4" s="7" t="s">
        <v>51</v>
      </c>
      <c r="I4" s="7" t="s">
        <v>52</v>
      </c>
      <c r="J4" s="7" t="s">
        <v>53</v>
      </c>
      <c r="K4" s="12" t="s">
        <v>54</v>
      </c>
      <c r="L4" s="12" t="s">
        <v>55</v>
      </c>
      <c r="M4" s="7" t="s">
        <v>56</v>
      </c>
      <c r="N4" s="7" t="s">
        <v>57</v>
      </c>
      <c r="O4" s="15" t="s">
        <v>67</v>
      </c>
      <c r="P4" s="16" t="s">
        <v>66</v>
      </c>
      <c r="Q4" s="14" t="s">
        <v>65</v>
      </c>
      <c r="R4" s="12" t="s">
        <v>59</v>
      </c>
      <c r="S4" s="7" t="s">
        <v>60</v>
      </c>
      <c r="T4" s="12">
        <v>3957195</v>
      </c>
      <c r="U4" s="12">
        <v>15828781</v>
      </c>
      <c r="V4" s="5">
        <f>(0.0561-0.083)*T4</f>
        <v>-106448.54550000002</v>
      </c>
      <c r="W4" s="5">
        <f>(0.0561-0.083)*U4</f>
        <v>-425794.20890000014</v>
      </c>
      <c r="X4" s="12">
        <v>0</v>
      </c>
      <c r="Y4" s="7" t="s">
        <v>61</v>
      </c>
      <c r="Z4" s="13">
        <f>44455</f>
        <v>44455</v>
      </c>
    </row>
    <row r="5" spans="1:26" s="1" customFormat="1" ht="42.6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s="1" customFormat="1" ht="42.6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s="1" customFormat="1" ht="42.6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s="1" customFormat="1" ht="42.6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s="1" customFormat="1" ht="42.6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s="1" customFormat="1" ht="42.6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1" customFormat="1" ht="42.6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s="1" customFormat="1" ht="42.6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1" customFormat="1" ht="42.6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s="1" customFormat="1" ht="42.6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1" customFormat="1" ht="42.6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1" customFormat="1" ht="42.6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1" customFormat="1" ht="42.6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1" customFormat="1" ht="42.6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1" customFormat="1" ht="42.6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1" customFormat="1" ht="42.6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1" customFormat="1" ht="42.6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1" customFormat="1" ht="42.6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1" customFormat="1" ht="42.6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1" customFormat="1" ht="42.6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1" customFormat="1" ht="42.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s="1" customFormat="1" ht="42.6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</sheetData>
  <mergeCells count="8">
    <mergeCell ref="A2:A3"/>
    <mergeCell ref="B2:B3"/>
    <mergeCell ref="C2:C3"/>
    <mergeCell ref="E2:E3"/>
    <mergeCell ref="Q2:Q3"/>
    <mergeCell ref="P2:P3"/>
    <mergeCell ref="O2:O3"/>
    <mergeCell ref="F2:F3"/>
  </mergeCells>
  <conditionalFormatting sqref="V1 V5:V1048576">
    <cfRule type="cellIs" dxfId="6" priority="52" operator="lessThan">
      <formula>0</formula>
    </cfRule>
  </conditionalFormatting>
  <conditionalFormatting sqref="V4:W4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V2:Y3">
    <cfRule type="cellIs" dxfId="3" priority="7" operator="lessThan">
      <formula>0</formula>
    </cfRule>
  </conditionalFormatting>
  <conditionalFormatting sqref="V2:Z3">
    <cfRule type="cellIs" dxfId="2" priority="6" operator="greaterThan">
      <formula>0</formula>
    </cfRule>
  </conditionalFormatting>
  <conditionalFormatting sqref="Z1:Z1048576">
    <cfRule type="cellIs" dxfId="1" priority="2" operator="lessThan">
      <formula>0</formula>
    </cfRule>
  </conditionalFormatting>
  <conditionalFormatting sqref="Z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  <customProperties>
    <customPr name="_pios_id" r:id="rId2"/>
    <customPr name="Ibp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728a42373757fe19dbf32cb01accea12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6d1219d07439347edf1a7dd06578600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00205-0ffb-4bc2-b18e-b800942d8fea" xsi:nil="true"/>
    <lcf76f155ced4ddcb4097134ff3c332f xmlns="c58f02bd-e0b7-474b-a2bc-9a19f162f3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261F0F-33C6-462A-99CD-06E4DE753B11}"/>
</file>

<file path=customXml/itemProps2.xml><?xml version="1.0" encoding="utf-8"?>
<ds:datastoreItem xmlns:ds="http://schemas.openxmlformats.org/officeDocument/2006/customXml" ds:itemID="{87FB1D2B-1FAA-41C6-9F66-B1FFE94EFF0D}"/>
</file>

<file path=customXml/itemProps3.xml><?xml version="1.0" encoding="utf-8"?>
<ds:datastoreItem xmlns:ds="http://schemas.openxmlformats.org/officeDocument/2006/customXml" ds:itemID="{3BAEC04C-5C15-4171-8EFD-D9B70FDD517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KW05, 2026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Xiangwei Chen ALF RPSBE1</cp:lastModifiedBy>
  <cp:lastPrinted>2025-09-03T13:26:17Z</cp:lastPrinted>
  <dcterms:created xsi:type="dcterms:W3CDTF">2025-09-02T13:26:50Z</dcterms:created>
  <dcterms:modified xsi:type="dcterms:W3CDTF">2026-02-23T17:31:21Z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IbpWorkbookKeyString_GUID">
    <vt:lpwstr>38fc2b40-ce9d-4aa7-a82c-e708adc4547a</vt:lpwstr>
  </property>
  <property fmtid="{D5CDD505-2E9C-101B-9397-08002B2CF9AE}" pid="10" name="ContentTypeId">
    <vt:lpwstr>0x010100D2AE94798D0E7D4487CB84FC9A87565D</vt:lpwstr>
  </property>
</Properties>
</file>