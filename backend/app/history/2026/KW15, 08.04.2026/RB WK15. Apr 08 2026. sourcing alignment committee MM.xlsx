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mario_gonzalez1_zf-lifetec_com/Documents/Desktop/"/>
    </mc:Choice>
  </mc:AlternateContent>
  <xr:revisionPtr revIDLastSave="0" documentId="8_{55071367-B794-48DA-8F50-D4ED303B84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W05, 202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V2" i="4"/>
  <c r="Z2" i="4"/>
</calcChain>
</file>

<file path=xl/sharedStrings.xml><?xml version="1.0" encoding="utf-8"?>
<sst xmlns="http://schemas.openxmlformats.org/spreadsheetml/2006/main" count="43" uniqueCount="43">
  <si>
    <t>#</t>
  </si>
  <si>
    <t>Region</t>
  </si>
  <si>
    <t>Type</t>
  </si>
  <si>
    <t xml:space="preserve">LT Spend </t>
  </si>
  <si>
    <t>Project/ Product</t>
  </si>
  <si>
    <t>Commodity</t>
  </si>
  <si>
    <t>Presenter</t>
  </si>
  <si>
    <t>Decision Level</t>
  </si>
  <si>
    <t>Peak Year Spend</t>
  </si>
  <si>
    <t>SWAT ID / Bundle ID</t>
  </si>
  <si>
    <t>PN</t>
  </si>
  <si>
    <t>Recommended Supplier (s)</t>
  </si>
  <si>
    <t xml:space="preserve">Sourcing Decision </t>
  </si>
  <si>
    <t>Part Description</t>
  </si>
  <si>
    <t>Notes/Task/ Resp./ Due Date</t>
  </si>
  <si>
    <t>Parent PF Code</t>
  </si>
  <si>
    <t>CQA PC PRICE</t>
  </si>
  <si>
    <t>Rec. Supplier Landed</t>
  </si>
  <si>
    <t>Average Volume</t>
  </si>
  <si>
    <t>LT volume</t>
  </si>
  <si>
    <t>LT saving</t>
  </si>
  <si>
    <t xml:space="preserve">Rec. Supplier Tooling </t>
  </si>
  <si>
    <t>Average Year Saving vs CQA</t>
  </si>
  <si>
    <t>CQA Tooling</t>
  </si>
  <si>
    <t>Tooling Saving vs CQA</t>
  </si>
  <si>
    <t>Comment</t>
  </si>
  <si>
    <t>Carry Over</t>
  </si>
  <si>
    <t>L2</t>
  </si>
  <si>
    <t>Various</t>
  </si>
  <si>
    <t>SO02</t>
  </si>
  <si>
    <t>SPR8 Tube</t>
  </si>
  <si>
    <t>SC0200201</t>
  </si>
  <si>
    <t>34235239A</t>
  </si>
  <si>
    <t>Iron Force Huahzou</t>
  </si>
  <si>
    <t>Haojie Ding</t>
  </si>
  <si>
    <t>2.4 Mio USD</t>
  </si>
  <si>
    <t>4,6 Mio USD</t>
  </si>
  <si>
    <t>0.98USD/PC</t>
  </si>
  <si>
    <t>0.73 USD/pc</t>
  </si>
  <si>
    <t>NA</t>
  </si>
  <si>
    <t>Kick off to support volume increase for 2027, only for 1 year. Existing line with capacity for 2027 increase, no investment needed in line, only in tools</t>
  </si>
  <si>
    <t>Approved</t>
  </si>
  <si>
    <t>This is a short term solution to support increase in 2027; still need long term solution with USMCA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</si>
</sst>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#,##0\ [$€-407];\-#,##0\ [$€-407]"/>
    <numFmt numFmtId="166" formatCode="[$USD]\ #,##0"/>
  </numFmts>
  <fonts count="7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11"/>
      <color rgb="FF006100"/>
      <name val="Calibri"/>
      <family val="2"/>
      <scheme val="minor"/>
    </font>
    <font>
      <sz val="8"/>
      <color rgb="FF006100"/>
      <name val="Arial"/>
      <family val="2"/>
    </font>
    <font>
      <b/>
      <sz val="8"/>
      <color theme="9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theme="0"/>
      </right>
      <top style="medium">
        <color theme="0"/>
      </top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rgb="FFFFFFFF"/>
      </right>
      <top style="medium">
        <color theme="0"/>
      </top>
      <bottom/>
      <diagonal/>
    </border>
    <border>
      <left style="medium">
        <color theme="0"/>
      </left>
      <right style="medium">
        <color rgb="FFFFFFFF"/>
      </right>
      <top/>
      <bottom/>
      <diagonal/>
    </border>
    <border>
      <left style="medium">
        <color theme="0"/>
      </left>
      <right style="medium">
        <color rgb="FFFFFFFF"/>
      </right>
      <top/>
      <bottom style="medium">
        <color theme="0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5" fontId="4" fillId="5" borderId="3" xfId="1" quotePrefix="1" applyNumberFormat="1" applyFont="1" applyBorder="1" applyAlignment="1">
      <alignment horizontal="center"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3" fontId="1" fillId="3" borderId="3" xfId="0" quotePrefix="1" applyNumberFormat="1" applyFont="1" applyFill="1" applyBorder="1" applyAlignment="1">
      <alignment horizontal="center" vertical="center" wrapText="1" readingOrder="1"/>
    </xf>
    <xf numFmtId="164" fontId="4" fillId="5" borderId="3" xfId="1" quotePrefix="1" applyNumberFormat="1" applyFont="1" applyBorder="1" applyAlignment="1">
      <alignment horizontal="center" vertical="center" wrapText="1" readingOrder="1"/>
    </xf>
    <xf numFmtId="3" fontId="1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5" fillId="3" borderId="3" xfId="0" quotePrefix="1" applyFont="1" applyFill="1" applyBorder="1" applyAlignment="1">
      <alignment horizontal="center" vertical="center" wrapText="1" readingOrder="1"/>
    </xf>
    <xf numFmtId="1" fontId="1" fillId="3" borderId="3" xfId="0" quotePrefix="1" applyNumberFormat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0" fontId="5" fillId="3" borderId="7" xfId="0" quotePrefix="1" applyFont="1" applyFill="1" applyBorder="1" applyAlignment="1">
      <alignment vertical="center" wrapText="1" readingOrder="1"/>
    </xf>
    <xf numFmtId="166" fontId="4" fillId="5" borderId="3" xfId="1" quotePrefix="1" applyNumberFormat="1" applyFont="1" applyBorder="1" applyAlignment="1">
      <alignment horizontal="center" vertical="center" wrapText="1" readingOrder="1"/>
    </xf>
    <xf numFmtId="0" fontId="1" fillId="3" borderId="4" xfId="0" quotePrefix="1" applyFont="1" applyFill="1" applyBorder="1" applyAlignment="1">
      <alignment horizontal="center" vertical="center" wrapText="1" readingOrder="1"/>
    </xf>
    <xf numFmtId="0" fontId="1" fillId="3" borderId="6" xfId="0" quotePrefix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3" fontId="1" fillId="3" borderId="7" xfId="0" quotePrefix="1" applyNumberFormat="1" applyFont="1" applyFill="1" applyBorder="1" applyAlignment="1">
      <alignment horizontal="center" vertical="center" wrapText="1" readingOrder="1"/>
    </xf>
    <xf numFmtId="3" fontId="1" fillId="3" borderId="8" xfId="0" quotePrefix="1" applyNumberFormat="1" applyFont="1" applyFill="1" applyBorder="1" applyAlignment="1">
      <alignment horizontal="center" vertical="center" wrapText="1" readingOrder="1"/>
    </xf>
    <xf numFmtId="3" fontId="1" fillId="3" borderId="9" xfId="0" quotePrefix="1" applyNumberFormat="1" applyFont="1" applyFill="1" applyBorder="1" applyAlignment="1">
      <alignment horizontal="center" vertical="center" wrapText="1" readingOrder="1"/>
    </xf>
    <xf numFmtId="0" fontId="5" fillId="3" borderId="7" xfId="0" quotePrefix="1" applyFont="1" applyFill="1" applyBorder="1" applyAlignment="1">
      <alignment horizontal="center" vertical="center" wrapText="1" readingOrder="1"/>
    </xf>
    <xf numFmtId="0" fontId="5" fillId="3" borderId="8" xfId="0" quotePrefix="1" applyFont="1" applyFill="1" applyBorder="1" applyAlignment="1">
      <alignment horizontal="center" vertical="center" wrapText="1" readingOrder="1"/>
    </xf>
    <xf numFmtId="0" fontId="5" fillId="3" borderId="9" xfId="0" quotePrefix="1" applyFont="1" applyFill="1" applyBorder="1" applyAlignment="1">
      <alignment horizontal="center" vertical="center" wrapText="1" readingOrder="1"/>
    </xf>
    <xf numFmtId="0" fontId="1" fillId="3" borderId="10" xfId="0" quotePrefix="1" applyFont="1" applyFill="1" applyBorder="1" applyAlignment="1">
      <alignment horizontal="left" vertical="center" wrapText="1" readingOrder="1"/>
    </xf>
    <xf numFmtId="0" fontId="1" fillId="3" borderId="11" xfId="0" quotePrefix="1" applyFont="1" applyFill="1" applyBorder="1" applyAlignment="1">
      <alignment horizontal="left" vertical="center" wrapText="1" readingOrder="1"/>
    </xf>
    <xf numFmtId="0" fontId="1" fillId="3" borderId="12" xfId="0" quotePrefix="1" applyFont="1" applyFill="1" applyBorder="1" applyAlignment="1">
      <alignment horizontal="left" vertical="center" wrapText="1" readingOrder="1"/>
    </xf>
  </cellXfs>
  <cellStyles count="2">
    <cellStyle name="Good" xfId="1" builtinId="26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dimension ref="A1:Z27"/>
  <sheetViews>
    <sheetView tabSelected="1" zoomScale="70" zoomScaleNormal="70" workbookViewId="0">
      <selection activeCell="N3" sqref="N3"/>
    </sheetView>
  </sheetViews>
  <sheetFormatPr defaultColWidth="9.08984375" defaultRowHeight="14.5" x14ac:dyDescent="0.35"/>
  <cols>
    <col min="1" max="3" width="8.90625" style="4"/>
    <col min="4" max="4" width="13.08984375" style="4" customWidth="1"/>
    <col min="5" max="5" width="11.54296875" style="4" customWidth="1"/>
    <col min="6" max="6" width="11.08984375" style="4" customWidth="1"/>
    <col min="7" max="7" width="20.6328125" style="4" customWidth="1"/>
    <col min="8" max="8" width="10.90625" style="4" customWidth="1"/>
    <col min="9" max="9" width="13.90625" style="4" customWidth="1"/>
    <col min="10" max="10" width="14.453125" style="4" customWidth="1"/>
    <col min="11" max="11" width="10.08984375" style="4" customWidth="1"/>
    <col min="12" max="12" width="9.08984375" style="4"/>
    <col min="13" max="13" width="12" style="4" customWidth="1"/>
    <col min="14" max="14" width="11.36328125" style="4" customWidth="1"/>
    <col min="15" max="15" width="23.08984375" style="4" customWidth="1"/>
    <col min="16" max="16" width="17.08984375" style="4" customWidth="1"/>
    <col min="17" max="17" width="30.453125" style="4" customWidth="1"/>
    <col min="18" max="18" width="12.453125" style="4" customWidth="1"/>
    <col min="19" max="19" width="13.08984375" style="4" customWidth="1"/>
    <col min="20" max="22" width="10.90625" style="4" customWidth="1"/>
    <col min="23" max="23" width="12.08984375" style="4" bestFit="1" customWidth="1"/>
    <col min="24" max="26" width="10.90625" style="4" customWidth="1"/>
  </cols>
  <sheetData>
    <row r="1" spans="1:26" s="1" customFormat="1" ht="42.65" customHeight="1" thickBot="1" x14ac:dyDescent="0.4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15</v>
      </c>
      <c r="G1" s="2" t="s">
        <v>9</v>
      </c>
      <c r="H1" s="2" t="s">
        <v>13</v>
      </c>
      <c r="I1" s="2" t="s">
        <v>10</v>
      </c>
      <c r="J1" s="2" t="s">
        <v>11</v>
      </c>
      <c r="K1" s="2" t="s">
        <v>6</v>
      </c>
      <c r="L1" s="2" t="s">
        <v>7</v>
      </c>
      <c r="M1" s="2" t="s">
        <v>8</v>
      </c>
      <c r="N1" s="2" t="s">
        <v>3</v>
      </c>
      <c r="O1" s="2" t="s">
        <v>25</v>
      </c>
      <c r="P1" s="2" t="s">
        <v>12</v>
      </c>
      <c r="Q1" s="2" t="s">
        <v>14</v>
      </c>
      <c r="R1" s="7" t="s">
        <v>16</v>
      </c>
      <c r="S1" s="7" t="s">
        <v>17</v>
      </c>
      <c r="T1" s="8" t="s">
        <v>18</v>
      </c>
      <c r="U1" s="8" t="s">
        <v>19</v>
      </c>
      <c r="V1" s="8" t="s">
        <v>22</v>
      </c>
      <c r="W1" s="8" t="s">
        <v>20</v>
      </c>
      <c r="X1" s="7" t="s">
        <v>23</v>
      </c>
      <c r="Y1" s="7" t="s">
        <v>21</v>
      </c>
      <c r="Z1" s="7" t="s">
        <v>24</v>
      </c>
    </row>
    <row r="2" spans="1:26" s="1" customFormat="1" ht="118.4" customHeight="1" thickBot="1" x14ac:dyDescent="0.4">
      <c r="A2" s="6">
        <v>1</v>
      </c>
      <c r="B2" s="6" t="s">
        <v>39</v>
      </c>
      <c r="C2" s="6" t="s">
        <v>26</v>
      </c>
      <c r="D2" s="6" t="s">
        <v>28</v>
      </c>
      <c r="E2" s="9" t="s">
        <v>29</v>
      </c>
      <c r="F2" s="9" t="s">
        <v>31</v>
      </c>
      <c r="G2" s="14">
        <v>110000034978</v>
      </c>
      <c r="H2" s="6" t="s">
        <v>30</v>
      </c>
      <c r="I2" s="6" t="s">
        <v>32</v>
      </c>
      <c r="J2" s="6" t="s">
        <v>33</v>
      </c>
      <c r="K2" s="9" t="s">
        <v>34</v>
      </c>
      <c r="L2" s="9" t="s">
        <v>27</v>
      </c>
      <c r="M2" s="6" t="s">
        <v>35</v>
      </c>
      <c r="N2" s="6" t="s">
        <v>36</v>
      </c>
      <c r="O2" s="12" t="s">
        <v>40</v>
      </c>
      <c r="P2" s="13" t="s">
        <v>41</v>
      </c>
      <c r="Q2" s="11" t="s">
        <v>42</v>
      </c>
      <c r="R2" s="9" t="s">
        <v>37</v>
      </c>
      <c r="S2" s="6" t="s">
        <v>38</v>
      </c>
      <c r="T2" s="9">
        <v>2800000</v>
      </c>
      <c r="U2" s="9">
        <v>5700000</v>
      </c>
      <c r="V2" s="17">
        <f>(0.73-0.98)*2800000</f>
        <v>-700000</v>
      </c>
      <c r="W2" s="17">
        <f>(0.73-0.98)*5700000</f>
        <v>-1425000</v>
      </c>
      <c r="X2" s="9">
        <v>200000</v>
      </c>
      <c r="Y2" s="6">
        <v>125316</v>
      </c>
      <c r="Z2" s="17">
        <f t="shared" ref="Z2" si="0">Y2-X2</f>
        <v>-74684</v>
      </c>
    </row>
    <row r="3" spans="1:26" s="1" customFormat="1" ht="118.4" customHeight="1" thickBot="1" x14ac:dyDescent="0.4">
      <c r="A3" s="6"/>
      <c r="B3" s="6"/>
      <c r="C3" s="6"/>
      <c r="D3" s="6"/>
      <c r="E3" s="9"/>
      <c r="F3" s="9"/>
      <c r="G3" s="14"/>
      <c r="H3" s="6"/>
      <c r="I3" s="6"/>
      <c r="J3" s="6"/>
      <c r="K3" s="9"/>
      <c r="L3" s="9"/>
      <c r="M3" s="6"/>
      <c r="N3" s="6"/>
      <c r="O3" s="12"/>
      <c r="P3" s="13"/>
      <c r="Q3" s="11"/>
      <c r="R3" s="9"/>
      <c r="S3" s="6"/>
      <c r="T3" s="9"/>
      <c r="U3" s="9"/>
      <c r="V3" s="5"/>
      <c r="W3" s="5"/>
      <c r="X3" s="9"/>
      <c r="Y3" s="6"/>
      <c r="Z3" s="10"/>
    </row>
    <row r="4" spans="1:26" s="1" customFormat="1" ht="118.4" customHeight="1" thickBot="1" x14ac:dyDescent="0.4">
      <c r="A4" s="6"/>
      <c r="B4" s="6"/>
      <c r="C4" s="6"/>
      <c r="D4" s="6"/>
      <c r="E4" s="9"/>
      <c r="F4" s="9"/>
      <c r="G4" s="14"/>
      <c r="H4" s="6"/>
      <c r="I4" s="6"/>
      <c r="J4" s="6"/>
      <c r="K4" s="9"/>
      <c r="L4" s="9"/>
      <c r="M4" s="6"/>
      <c r="N4" s="6"/>
      <c r="O4" s="12"/>
      <c r="P4" s="13"/>
      <c r="Q4" s="11"/>
      <c r="R4" s="9"/>
      <c r="S4" s="6"/>
      <c r="T4" s="9"/>
      <c r="U4" s="9"/>
      <c r="V4" s="5"/>
      <c r="W4" s="5"/>
      <c r="X4" s="9"/>
      <c r="Y4" s="6"/>
      <c r="Z4" s="10"/>
    </row>
    <row r="5" spans="1:26" s="1" customFormat="1" ht="118.4" customHeight="1" thickBot="1" x14ac:dyDescent="0.4">
      <c r="A5" s="6"/>
      <c r="B5" s="6"/>
      <c r="C5" s="6"/>
      <c r="D5" s="6"/>
      <c r="E5" s="9"/>
      <c r="F5" s="9"/>
      <c r="G5" s="14"/>
      <c r="H5" s="6"/>
      <c r="I5" s="6"/>
      <c r="J5" s="6"/>
      <c r="K5" s="9"/>
      <c r="L5" s="9"/>
      <c r="M5" s="6"/>
      <c r="N5" s="6"/>
      <c r="O5" s="12"/>
      <c r="P5" s="13"/>
      <c r="Q5" s="11"/>
      <c r="R5" s="9"/>
      <c r="S5" s="9"/>
      <c r="T5" s="9"/>
      <c r="U5" s="9"/>
      <c r="V5" s="5"/>
      <c r="W5" s="5"/>
      <c r="X5" s="9"/>
      <c r="Y5" s="6"/>
      <c r="Z5" s="10"/>
    </row>
    <row r="6" spans="1:26" s="1" customFormat="1" ht="118.4" customHeight="1" thickBot="1" x14ac:dyDescent="0.4">
      <c r="A6" s="6"/>
      <c r="B6" s="6"/>
      <c r="C6" s="6"/>
      <c r="D6" s="6"/>
      <c r="E6" s="9"/>
      <c r="F6" s="9"/>
      <c r="G6" s="14"/>
      <c r="H6" s="6"/>
      <c r="I6" s="6"/>
      <c r="J6" s="6"/>
      <c r="K6" s="9"/>
      <c r="L6" s="9"/>
      <c r="M6" s="6"/>
      <c r="N6" s="6"/>
      <c r="O6" s="12"/>
      <c r="P6" s="13"/>
      <c r="Q6" s="11"/>
      <c r="R6" s="9"/>
      <c r="S6" s="6"/>
      <c r="T6" s="9"/>
      <c r="U6" s="9"/>
      <c r="V6" s="5"/>
      <c r="W6" s="5"/>
      <c r="X6" s="9"/>
      <c r="Y6" s="6"/>
      <c r="Z6" s="10"/>
    </row>
    <row r="7" spans="1:26" s="1" customFormat="1" ht="118.4" customHeight="1" thickBot="1" x14ac:dyDescent="0.4">
      <c r="A7" s="18"/>
      <c r="B7" s="6"/>
      <c r="C7" s="6"/>
      <c r="D7" s="6"/>
      <c r="E7" s="9"/>
      <c r="F7" s="9"/>
      <c r="G7" s="6"/>
      <c r="H7" s="6"/>
      <c r="I7" s="6"/>
      <c r="J7" s="6"/>
      <c r="K7" s="9"/>
      <c r="L7" s="21"/>
      <c r="M7" s="18"/>
      <c r="N7" s="18"/>
      <c r="O7" s="27"/>
      <c r="P7" s="24"/>
      <c r="Q7" s="11"/>
      <c r="R7" s="9"/>
      <c r="S7" s="6"/>
      <c r="T7" s="9"/>
      <c r="U7" s="9"/>
      <c r="V7" s="5"/>
      <c r="W7" s="5"/>
      <c r="X7" s="9"/>
      <c r="Y7" s="6"/>
      <c r="Z7" s="10"/>
    </row>
    <row r="8" spans="1:26" s="1" customFormat="1" ht="118.4" customHeight="1" thickBot="1" x14ac:dyDescent="0.4">
      <c r="A8" s="19"/>
      <c r="B8" s="6"/>
      <c r="C8" s="6"/>
      <c r="D8" s="6"/>
      <c r="E8" s="9"/>
      <c r="F8" s="9"/>
      <c r="G8" s="6"/>
      <c r="H8" s="6"/>
      <c r="I8" s="6"/>
      <c r="J8" s="6"/>
      <c r="K8" s="9"/>
      <c r="L8" s="22"/>
      <c r="M8" s="19"/>
      <c r="N8" s="19"/>
      <c r="O8" s="28"/>
      <c r="P8" s="25"/>
      <c r="Q8" s="11"/>
      <c r="R8" s="9"/>
      <c r="S8" s="9"/>
      <c r="T8" s="9"/>
      <c r="U8" s="9"/>
      <c r="V8" s="5"/>
      <c r="W8" s="5"/>
      <c r="X8" s="9"/>
      <c r="Y8" s="6"/>
      <c r="Z8" s="10"/>
    </row>
    <row r="9" spans="1:26" s="1" customFormat="1" ht="118.4" customHeight="1" thickBot="1" x14ac:dyDescent="0.4">
      <c r="A9" s="20"/>
      <c r="B9" s="6"/>
      <c r="C9" s="6"/>
      <c r="D9" s="6"/>
      <c r="E9" s="9"/>
      <c r="F9" s="9"/>
      <c r="G9" s="6"/>
      <c r="H9" s="6"/>
      <c r="I9" s="6"/>
      <c r="J9" s="6"/>
      <c r="K9" s="9"/>
      <c r="L9" s="23"/>
      <c r="M9" s="20"/>
      <c r="N9" s="20"/>
      <c r="O9" s="29"/>
      <c r="P9" s="26"/>
      <c r="Q9" s="11"/>
      <c r="R9" s="9"/>
      <c r="S9" s="9"/>
      <c r="T9" s="9"/>
      <c r="U9" s="9"/>
      <c r="V9" s="5"/>
      <c r="W9" s="5"/>
      <c r="X9" s="9"/>
      <c r="Y9" s="6"/>
      <c r="Z9" s="10"/>
    </row>
    <row r="10" spans="1:26" s="1" customFormat="1" ht="118.4" customHeight="1" thickBot="1" x14ac:dyDescent="0.4">
      <c r="A10" s="6"/>
      <c r="B10" s="6"/>
      <c r="C10" s="6"/>
      <c r="D10" s="6"/>
      <c r="E10" s="9"/>
      <c r="F10" s="9"/>
      <c r="G10" s="14"/>
      <c r="H10" s="6"/>
      <c r="I10" s="6"/>
      <c r="J10" s="6"/>
      <c r="K10" s="9"/>
      <c r="L10" s="9"/>
      <c r="M10" s="9"/>
      <c r="N10" s="9"/>
      <c r="O10" s="12"/>
      <c r="P10" s="16"/>
      <c r="Q10" s="11"/>
      <c r="R10" s="9"/>
      <c r="S10" s="6"/>
      <c r="T10" s="9"/>
      <c r="U10" s="9"/>
      <c r="V10" s="5"/>
      <c r="W10" s="5"/>
      <c r="X10" s="9"/>
      <c r="Y10" s="6"/>
      <c r="Z10" s="10"/>
    </row>
    <row r="11" spans="1:26" s="1" customFormat="1" ht="118.4" customHeight="1" thickBot="1" x14ac:dyDescent="0.4">
      <c r="A11" s="15"/>
      <c r="B11" s="6"/>
      <c r="C11" s="6"/>
      <c r="D11" s="6"/>
      <c r="E11" s="9"/>
      <c r="F11" s="9"/>
      <c r="G11" s="14"/>
      <c r="H11" s="6"/>
      <c r="I11" s="6"/>
      <c r="J11" s="6"/>
      <c r="K11" s="9"/>
      <c r="L11" s="9"/>
      <c r="M11" s="9"/>
      <c r="N11" s="9"/>
      <c r="O11" s="12"/>
      <c r="P11" s="16"/>
      <c r="Q11" s="11"/>
      <c r="R11" s="9"/>
      <c r="S11" s="6"/>
      <c r="T11" s="9"/>
      <c r="U11" s="9"/>
      <c r="V11" s="5"/>
      <c r="W11" s="5"/>
      <c r="X11" s="9"/>
      <c r="Y11" s="6"/>
      <c r="Z11" s="10"/>
    </row>
    <row r="12" spans="1:26" s="1" customFormat="1" ht="42.65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s="1" customFormat="1" ht="42.65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s="1" customFormat="1" ht="42.65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s="1" customFormat="1" ht="42.6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1" customFormat="1" ht="42.6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1" customFormat="1" ht="42.6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s="1" customFormat="1" ht="42.6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1" customFormat="1" ht="42.6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1" customFormat="1" ht="42.6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1" customFormat="1" ht="42.6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1" customFormat="1" ht="42.6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1" customFormat="1" ht="42.6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1" customFormat="1" ht="42.6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s="1" customFormat="1" ht="42.6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s="1" customFormat="1" ht="42.6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s="1" customFormat="1" ht="42.6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</sheetData>
  <mergeCells count="6">
    <mergeCell ref="A7:A9"/>
    <mergeCell ref="L7:L9"/>
    <mergeCell ref="M7:M9"/>
    <mergeCell ref="N7:N9"/>
    <mergeCell ref="P7:P9"/>
    <mergeCell ref="O7:O9"/>
  </mergeCells>
  <phoneticPr fontId="6" type="noConversion"/>
  <conditionalFormatting sqref="V1 Z1:Z1048576 V12:V1048576">
    <cfRule type="cellIs" dxfId="3" priority="64" operator="lessThan">
      <formula>0</formula>
    </cfRule>
  </conditionalFormatting>
  <conditionalFormatting sqref="V2:W11">
    <cfRule type="cellIs" dxfId="2" priority="1" operator="greaterThan">
      <formula>0</formula>
    </cfRule>
    <cfRule type="cellIs" dxfId="1" priority="2" operator="lessThan">
      <formula>0</formula>
    </cfRule>
  </conditionalFormatting>
  <conditionalFormatting sqref="Z2:Z11">
    <cfRule type="cellIs" dxfId="0" priority="13" operator="greaterThan">
      <formula>0</formula>
    </cfRule>
  </conditionalFormatting>
  <pageMargins left="0.7" right="0.7" top="0.75" bottom="0.75" header="0.3" footer="0.3"/>
  <pageSetup orientation="portrait" r:id="rId1"/>
  <customProperties>
    <customPr name="_pios_id" r:id="rId2"/>
    <customPr name="Ibp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10" ma:contentTypeDescription="Ein neues Dokument erstellen." ma:contentTypeScope="" ma:versionID="728a42373757fe19dbf32cb01accea12">
  <xsd:schema xmlns:xsd="http://www.w3.org/2001/XMLSchema" xmlns:xs="http://www.w3.org/2001/XMLSchema" xmlns:p="http://schemas.microsoft.com/office/2006/metadata/properties" xmlns:ns2="c58f02bd-e0b7-474b-a2bc-9a19f162f3a8" xmlns:ns3="b7d00205-0ffb-4bc2-b18e-b800942d8fea" targetNamespace="http://schemas.microsoft.com/office/2006/metadata/properties" ma:root="true" ma:fieldsID="86d1219d07439347edf1a7dd06578600" ns2:_="" ns3:_="">
    <xsd:import namespace="c58f02bd-e0b7-474b-a2bc-9a19f162f3a8"/>
    <xsd:import namespace="b7d00205-0ffb-4bc2-b18e-b800942d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2c1abb6-7528-48c8-bade-a0efe8056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00205-0ffb-4bc2-b18e-b800942d8f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941d5-66b0-4dcf-b0f6-17179381c1ce}" ma:internalName="TaxCatchAll" ma:showField="CatchAllData" ma:web="b7d00205-0ffb-4bc2-b18e-b800942d8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d00205-0ffb-4bc2-b18e-b800942d8fea" xsi:nil="true"/>
    <lcf76f155ced4ddcb4097134ff3c332f xmlns="c58f02bd-e0b7-474b-a2bc-9a19f162f3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7A9F53-459A-4ED0-932C-8A59DFEE5B4B}"/>
</file>

<file path=customXml/itemProps2.xml><?xml version="1.0" encoding="utf-8"?>
<ds:datastoreItem xmlns:ds="http://schemas.openxmlformats.org/officeDocument/2006/customXml" ds:itemID="{80EC7C47-3A9E-4456-84D4-190A4A7B7E5A}"/>
</file>

<file path=customXml/itemProps3.xml><?xml version="1.0" encoding="utf-8"?>
<ds:datastoreItem xmlns:ds="http://schemas.openxmlformats.org/officeDocument/2006/customXml" ds:itemID="{F7060247-BC10-404B-AF00-3B15A287CEE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KW05, 2026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Xiangwei Chen ALF RPSBE1</dc:creator>
  <cp:lastModifiedBy>Mario Gonzalez Gonzalez WSH RPSBN1</cp:lastModifiedBy>
  <cp:lastPrinted>2025-09-03T13:26:17Z</cp:lastPrinted>
  <dcterms:created xsi:type="dcterms:W3CDTF">2025-09-02T13:26:50Z</dcterms:created>
  <dcterms:modified xsi:type="dcterms:W3CDTF">2026-04-08T11:57:28Z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IbpWorkbookKeyString_GUID">
    <vt:lpwstr>38fc2b40-ce9d-4aa7-a82c-e708adc4547a</vt:lpwstr>
  </property>
  <property fmtid="{D5CDD505-2E9C-101B-9397-08002B2CF9AE}" pid="10" name="ContentTypeId">
    <vt:lpwstr>0x010100D2AE94798D0E7D4487CB84FC9A87565D</vt:lpwstr>
  </property>
</Properties>
</file>