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2026/Sourcing Alignment meeting/KW39, 23.09.2026/"/>
    </mc:Choice>
  </mc:AlternateContent>
  <xr:revisionPtr revIDLastSave="0" documentId="8_{88AD8CD9-344C-49BA-B219-CB3CFAD3989C}" xr6:coauthVersionLast="47" xr6:coauthVersionMax="47" xr10:uidLastSave="{00000000-0000-0000-0000-000000000000}"/>
  <bookViews>
    <workbookView xWindow="-108" yWindow="-108" windowWidth="23256" windowHeight="12456" xr2:uid="{00000000-000D-0000-FFFF-FFFF00000000}"/>
  </bookViews>
  <sheets>
    <sheet name="KW39, 2026"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7" i="4" l="1"/>
  <c r="W8" i="4"/>
  <c r="V8" i="4"/>
  <c r="W7" i="4"/>
  <c r="V7" i="4"/>
  <c r="Z4" i="4"/>
  <c r="W4" i="4"/>
  <c r="W6" i="4"/>
  <c r="V6" i="4"/>
  <c r="Z2" i="4"/>
  <c r="W2" i="4"/>
  <c r="V2" i="4"/>
  <c r="Z3" i="4"/>
  <c r="W3" i="4"/>
  <c r="V3" i="4"/>
  <c r="V4" i="4"/>
  <c r="Z5" i="4" l="1"/>
  <c r="W5" i="4"/>
  <c r="V5" i="4"/>
</calcChain>
</file>

<file path=xl/sharedStrings.xml><?xml version="1.0" encoding="utf-8"?>
<sst xmlns="http://schemas.openxmlformats.org/spreadsheetml/2006/main" count="173" uniqueCount="126">
  <si>
    <t>#</t>
  </si>
  <si>
    <t>Region</t>
  </si>
  <si>
    <t>Type</t>
  </si>
  <si>
    <t>Project/ Product</t>
  </si>
  <si>
    <t>Commodity</t>
  </si>
  <si>
    <t>Presenter</t>
  </si>
  <si>
    <t>Decision Level</t>
  </si>
  <si>
    <t>SWAT ID / Bundle ID</t>
  </si>
  <si>
    <t>PN</t>
  </si>
  <si>
    <t>Recommended Supplier (s)</t>
  </si>
  <si>
    <t xml:space="preserve">Sourcing Decision </t>
  </si>
  <si>
    <t>Part Description</t>
  </si>
  <si>
    <t>Notes/Task/ Resp./ Due Date</t>
  </si>
  <si>
    <t>Parent PF Code</t>
  </si>
  <si>
    <t>CQA PC PRICE</t>
  </si>
  <si>
    <t>Rec. Supplier Landed</t>
  </si>
  <si>
    <t>Average Volume</t>
  </si>
  <si>
    <t>LT volume</t>
  </si>
  <si>
    <t>LT saving</t>
  </si>
  <si>
    <t xml:space="preserve">Rec. Supplier Tooling </t>
  </si>
  <si>
    <t>Average Year Saving vs CQA</t>
  </si>
  <si>
    <t>CQA Tooling</t>
  </si>
  <si>
    <t>Tooling Saving vs CQA</t>
  </si>
  <si>
    <t>Comment</t>
  </si>
  <si>
    <t>New</t>
  </si>
  <si>
    <t>L4</t>
  </si>
  <si>
    <t>AP</t>
  </si>
  <si>
    <t>CA04</t>
  </si>
  <si>
    <t>CA04003
High complexity parts</t>
  </si>
  <si>
    <t>Locking Disc Alu</t>
  </si>
  <si>
    <t>R003H729B</t>
  </si>
  <si>
    <t>Shenzhen XLX</t>
  </si>
  <si>
    <t>Jordan ZHAO</t>
  </si>
  <si>
    <t>Advanced Moulding Production Ltd.</t>
  </si>
  <si>
    <t>Lingqin Hu</t>
  </si>
  <si>
    <t>0,2108 Euro/pc
1,75 RMB/pc
 (Q2/25 RM index)</t>
  </si>
  <si>
    <t>1) 1,8317 RMB/pc (Q2/25 RM index)
2) 1,90 RMB/pc (Q2/26 RM index)</t>
  </si>
  <si>
    <t>Peak Year Spend
Euro</t>
  </si>
  <si>
    <t>LT Spend
Euro</t>
  </si>
  <si>
    <t>39,157 Euro
325.000 RMB</t>
  </si>
  <si>
    <t>37750 Euro
286.000 RMB</t>
  </si>
  <si>
    <t>NA</t>
  </si>
  <si>
    <t>New part</t>
  </si>
  <si>
    <t>CH01016
Medium Precision</t>
  </si>
  <si>
    <t>EU, NA</t>
  </si>
  <si>
    <t>MBEAL</t>
  </si>
  <si>
    <t>B/2025/00361
110000034019</t>
  </si>
  <si>
    <t>ECU Cover</t>
  </si>
  <si>
    <t>R004D369A</t>
  </si>
  <si>
    <t>Ningbo Deke Precision MoldingCo., L</t>
  </si>
  <si>
    <t>Sandra Novegil</t>
  </si>
  <si>
    <t>L2</t>
  </si>
  <si>
    <t>139K Euro</t>
  </si>
  <si>
    <t>852K Euro</t>
  </si>
  <si>
    <t>0,12 Euro/pc</t>
  </si>
  <si>
    <t>0,18 Euro/pc</t>
  </si>
  <si>
    <t>B/2025/00361
110000034018</t>
  </si>
  <si>
    <t>ECU Housing, w/o WMS</t>
  </si>
  <si>
    <t>R003H147A</t>
  </si>
  <si>
    <t>0,64 Euro/pc</t>
  </si>
  <si>
    <t>B/2025/00361
110000034017</t>
  </si>
  <si>
    <t>ECU Housing, WMS</t>
  </si>
  <si>
    <t>R003B136A</t>
  </si>
  <si>
    <t>439K Euro</t>
  </si>
  <si>
    <t>2,5Mio Euro</t>
  </si>
  <si>
    <t>MBEAL
Family8.S</t>
  </si>
  <si>
    <t>SC02</t>
  </si>
  <si>
    <t>CH01</t>
  </si>
  <si>
    <t>SC02002
Formed Tubes</t>
  </si>
  <si>
    <t>SPR8.S (E) TUBE</t>
  </si>
  <si>
    <t>R003D867A</t>
  </si>
  <si>
    <t>Huzhou Iron Force Metal ProductsCo.</t>
  </si>
  <si>
    <t>Haojie Ding</t>
  </si>
  <si>
    <t>10K Euro</t>
  </si>
  <si>
    <t>61K Euro Euro</t>
  </si>
  <si>
    <t>99K Euro
782K RMB</t>
  </si>
  <si>
    <t>585K Euro
4.6Mio RMB</t>
  </si>
  <si>
    <t>1. Allocation into MB.EAL lifecycle volume 880,174 pcs
2. Approved by Family 8.SE</t>
  </si>
  <si>
    <t>0.6709 Euro/pc
5.3 RMB/pc</t>
  </si>
  <si>
    <t>0.6646 Euro/pc
5.25 RMB/pc</t>
  </si>
  <si>
    <t>107595 Euro
850000 RMB</t>
  </si>
  <si>
    <t>1. CN volume not yet nomincated by MB
2. globally only 277K Euro tooling budget for ECU Housing and cover
3. TR closed with Deke
4. ECU PV needed May 2026, needs to have ECU housing and cover provided to EMS supplier few weeks ahead to support PV build.
5. CQA based on different design and volume.</t>
  </si>
  <si>
    <t>101266Euro
850000 RMB</t>
  </si>
  <si>
    <t>0,66 Euro/pc</t>
  </si>
  <si>
    <t>0,74 Euro/pc</t>
  </si>
  <si>
    <t>873K Euro</t>
  </si>
  <si>
    <t>EU</t>
  </si>
  <si>
    <t>SC06003</t>
  </si>
  <si>
    <t>SC06</t>
  </si>
  <si>
    <t>110000035049</t>
  </si>
  <si>
    <t>Retractor Bracket</t>
  </si>
  <si>
    <t>110000035048</t>
  </si>
  <si>
    <t>R004C217A</t>
  </si>
  <si>
    <t>R004C216A</t>
  </si>
  <si>
    <t>25K Euro</t>
  </si>
  <si>
    <t>149K Euro</t>
  </si>
  <si>
    <t>0,60 Euro/pc</t>
  </si>
  <si>
    <t>0,4810 Euro/pc</t>
  </si>
  <si>
    <t>1. Comment about tooling cavities to be updated in QAF and in capa. --SP Tracy, KW39</t>
  </si>
  <si>
    <t>1. brackets with welded nut
2. 400T, 2 Cavity, LH RH</t>
  </si>
  <si>
    <t>1.	Tooling cost will be paid in lump sum, with approved CEA, tool owner ZF LIFETEC.
2.	No TR&amp;R cost included in the pc price. In case there will be new projects for carry over sourcing, new tooling cost needs to be considered in Business Case.
3.	CQA RM index is Yr2025 Q2, and the awarded RM index is Yr2026 Q2.
4.	Double check whether BPG is including CNC machining process.---Sep.21st  @Jordan Zhao CHN ROSMF
5.	If the yearly volume could meet 1M or 2M/year, Strategy Procurement can help with further negotiation to meet lower cost.</t>
  </si>
  <si>
    <t>2028 MBEAL SBS</t>
  </si>
  <si>
    <t>Electromechanicals</t>
  </si>
  <si>
    <t>EA03011</t>
  </si>
  <si>
    <t>B/2026/00135</t>
  </si>
  <si>
    <t>RNS5s Mechanical Diagnosable Resistor Coded Switch wire assembly</t>
  </si>
  <si>
    <t>R004F937</t>
  </si>
  <si>
    <t>ODW-ELEKTRIK</t>
  </si>
  <si>
    <t>Cesar Espinoza</t>
  </si>
  <si>
    <t>677K Euro</t>
  </si>
  <si>
    <t>4,07 Mio Euro</t>
  </si>
  <si>
    <t>R004F938</t>
  </si>
  <si>
    <t>R004H057</t>
  </si>
  <si>
    <t>R004H268</t>
  </si>
  <si>
    <t>R004G206</t>
  </si>
  <si>
    <t>R004J281</t>
  </si>
  <si>
    <t>R004J284</t>
  </si>
  <si>
    <t>R004J285</t>
  </si>
  <si>
    <t>2029 MBEAL SBS</t>
  </si>
  <si>
    <t>Offline reviewed KW38, Rejected, 
To be followed up</t>
  </si>
  <si>
    <t>1. ODW, so far globally the only developed supplier who can deliver NORC switches.
AP team working on developing a 2nd source. TR ongoing.
2. ODW PT 90days, consignment available</t>
  </si>
  <si>
    <t xml:space="preserve">1. To add the 2 NA SWAT cases for PN R004G206 and R004J281 into the bundle. -- SP Cesar, CW39
2. To add a NPV comparison incoterm supplier FCA condition vs CQA FCA condition. -- SP Cesar, CW39
3. To check with AP team regarding mechanical switch localization status/timing plan. 4 years' lead time until SOP too long. Comparison with AP source consider AP price w/wo line amortization. -- SP Cesar, BUP Zhi
3. To negotiate the prices, 1. to have recommended supplier NPV meeting CQA NPV, (both under FCA condition), 2. then to maximize LTA and BPP saving, to work out a best saving solution meeting CQA.
-- SP Cesar
4. To have GAP analysis, to request CE involvement in negotiation with ODW, meeting to be planned KW40. -- SP Cesar, CE Raymond.
5. MBEAL SUV further new sourcing would start in Sept. with lifetime volume 3 Mio. pcs. To further negotiate lower price for whole MBEAL EU&amp;NA package.--BUP Zhi, Agustin
</t>
  </si>
  <si>
    <t>Approved offline KW38</t>
  </si>
  <si>
    <t>Approved offline KW39</t>
  </si>
  <si>
    <t>Approved with conditions</t>
  </si>
  <si>
    <t>1. To check with engineering and SDE about cleanliness requirement, benchmarking with Staamp current pratice: cleanliness tested once per year, combining the comment of CE, if high-end cleaning or cleaning process ever really needed. --BUP Rafal, 
Deke to seperate the cleanling cost in QAF to show reduction potential. --SP Sandra
2. To continue the packaging cost improvement
1) to check and access with Kimball if their process allow us to pack ECU housing and cover together --BUP Rafal, SP Melisa
2) to check with Engineering and SDE if bulk package for cover can be approved instead of blister 
3. To kickoff tooling at Deke-- TEAM
4. To close the gap towards CQA, to list down all the gap closure activities and to follow up bi-weekly, to define task owner, list to be distributed KW40--BUP Rafal, SP Sandra with ECU team
5. To request BP lumpsum from Deke for 2026.--SP Sandra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</si>
</sst>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0.00\ &quot;€&quot;_-;\-* #,##0.00\ &quot;€&quot;_-;_-* &quot;-&quot;??\ &quot;€&quot;_-;_-@_-"/>
    <numFmt numFmtId="43" formatCode="_-* #,##0.00_-;\-* #,##0.00_-;_-* &quot;-&quot;??_-;_-@_-"/>
    <numFmt numFmtId="164" formatCode="#,##0\ [$€-407];\-#,##0\ [$€-407]"/>
    <numFmt numFmtId="165" formatCode="_-* #,##0\ &quot;€&quot;_-;\-* #,##0\ &quot;€&quot;_-;_-* &quot;-&quot;??\ &quot;€&quot;_-;_-@_-"/>
    <numFmt numFmtId="166" formatCode="_-* #,##0_-;\-* #,##0_-;_-* &quot;-&quot;??_-;_-@_-"/>
    <numFmt numFmtId="167" formatCode="_-[$€-2]\ * #,##0.00_-;\-[$€-2]\ * #,##0.00_-;_-[$€-2]\ * &quot;-&quot;??_-;_-@_-"/>
    <numFmt numFmtId="168" formatCode="[$€-2]\ #,##0.0000;\-[$€-2]\ #,##0.0000"/>
    <numFmt numFmtId="169" formatCode="#,##0_ ;\-#,##0\ "/>
  </numFmts>
  <fonts count="10" x14ac:knownFonts="1">
    <font>
      <sz val="11"/>
      <color theme="1"/>
      <name val="Calibri"/>
      <family val="2"/>
      <scheme val="minor"/>
    </font>
    <font>
      <sz val="8"/>
      <color rgb="FF000000"/>
      <name val="Arial"/>
      <family val="2"/>
    </font>
    <font>
      <b/>
      <sz val="8"/>
      <color rgb="FFFFFFFF"/>
      <name val="Arial"/>
      <family val="2"/>
    </font>
    <font>
      <sz val="11"/>
      <color rgb="FF006100"/>
      <name val="Calibri"/>
      <family val="2"/>
      <scheme val="minor"/>
    </font>
    <font>
      <sz val="8"/>
      <color rgb="FF006100"/>
      <name val="Arial"/>
      <family val="2"/>
    </font>
    <font>
      <b/>
      <sz val="8"/>
      <color theme="9"/>
      <name val="Arial"/>
      <family val="2"/>
    </font>
    <font>
      <sz val="8"/>
      <name val="Calibri"/>
      <family val="2"/>
      <scheme val="minor"/>
    </font>
    <font>
      <sz val="8"/>
      <name val="Arial"/>
      <family val="2"/>
    </font>
    <font>
      <sz val="11"/>
      <color theme="1"/>
      <name val="Calibri"/>
      <family val="2"/>
      <scheme val="minor"/>
    </font>
    <font>
      <b/>
      <sz val="8"/>
      <color rgb="FFFF0000"/>
      <name val="Arial"/>
      <family val="2"/>
    </font>
  </fonts>
  <fills count="6">
    <fill>
      <patternFill patternType="none"/>
    </fill>
    <fill>
      <patternFill patternType="gray125"/>
    </fill>
    <fill>
      <patternFill patternType="solid">
        <fgColor rgb="FFE73E11"/>
        <bgColor indexed="64"/>
      </patternFill>
    </fill>
    <fill>
      <patternFill patternType="solid">
        <fgColor rgb="FFF6CECC"/>
        <bgColor indexed="64"/>
      </patternFill>
    </fill>
    <fill>
      <patternFill patternType="solid">
        <fgColor theme="6"/>
        <bgColor indexed="64"/>
      </patternFill>
    </fill>
    <fill>
      <patternFill patternType="solid">
        <fgColor rgb="FFC6EFCE"/>
      </patternFill>
    </fill>
  </fills>
  <borders count="24">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theme="0"/>
      </left>
      <right style="medium">
        <color rgb="FFFFFFFF"/>
      </right>
      <top style="medium">
        <color theme="0"/>
      </top>
      <bottom style="medium">
        <color theme="0"/>
      </bottom>
      <diagonal/>
    </border>
    <border>
      <left style="medium">
        <color rgb="FFFFFFFF"/>
      </left>
      <right style="medium">
        <color theme="0"/>
      </right>
      <top style="medium">
        <color theme="0"/>
      </top>
      <bottom/>
      <diagonal/>
    </border>
    <border>
      <left/>
      <right style="medium">
        <color rgb="FFFFFFFF"/>
      </right>
      <top/>
      <bottom style="medium">
        <color rgb="FFFFFFFF"/>
      </bottom>
      <diagonal/>
    </border>
    <border>
      <left/>
      <right/>
      <top style="medium">
        <color theme="0"/>
      </top>
      <bottom/>
      <diagonal/>
    </border>
    <border>
      <left/>
      <right style="medium">
        <color rgb="FFFFFFFF"/>
      </right>
      <top/>
      <bottom/>
      <diagonal/>
    </border>
    <border>
      <left style="medium">
        <color theme="0"/>
      </left>
      <right style="medium">
        <color theme="0"/>
      </right>
      <top style="medium">
        <color theme="0"/>
      </top>
      <bottom/>
      <diagonal/>
    </border>
    <border>
      <left style="medium">
        <color theme="0"/>
      </left>
      <right style="medium">
        <color theme="0"/>
      </right>
      <top/>
      <bottom/>
      <diagonal/>
    </border>
    <border>
      <left style="medium">
        <color rgb="FFFFFFFF"/>
      </left>
      <right style="medium">
        <color theme="0"/>
      </right>
      <top/>
      <bottom/>
      <diagonal/>
    </border>
    <border>
      <left style="medium">
        <color theme="0"/>
      </left>
      <right style="medium">
        <color theme="0"/>
      </right>
      <top/>
      <bottom style="medium">
        <color theme="0"/>
      </bottom>
      <diagonal/>
    </border>
    <border>
      <left style="medium">
        <color rgb="FFFFFFFF"/>
      </left>
      <right style="medium">
        <color theme="0"/>
      </right>
      <top/>
      <bottom style="medium">
        <color theme="0"/>
      </bottom>
      <diagonal/>
    </border>
    <border>
      <left style="medium">
        <color theme="0"/>
      </left>
      <right style="medium">
        <color rgb="FFFFFFFF"/>
      </right>
      <top/>
      <bottom/>
      <diagonal/>
    </border>
    <border>
      <left style="medium">
        <color theme="0"/>
      </left>
      <right style="medium">
        <color rgb="FFFFFFFF"/>
      </right>
      <top/>
      <bottom style="medium">
        <color theme="0"/>
      </bottom>
      <diagonal/>
    </border>
    <border>
      <left style="medium">
        <color theme="0"/>
      </left>
      <right style="medium">
        <color rgb="FFFFFFFF"/>
      </right>
      <top style="medium">
        <color theme="0"/>
      </top>
      <bottom/>
      <diagonal/>
    </border>
    <border>
      <left style="medium">
        <color rgb="FFFFFFFF"/>
      </left>
      <right style="medium">
        <color rgb="FFFFFFFF"/>
      </right>
      <top style="medium">
        <color theme="0"/>
      </top>
      <bottom/>
      <diagonal/>
    </border>
    <border>
      <left/>
      <right style="medium">
        <color theme="0"/>
      </right>
      <top style="medium">
        <color theme="0"/>
      </top>
      <bottom/>
      <diagonal/>
    </border>
    <border>
      <left style="medium">
        <color rgb="FFFFFFFF"/>
      </left>
      <right style="medium">
        <color rgb="FFFFFFFF"/>
      </right>
      <top/>
      <bottom/>
      <diagonal/>
    </border>
    <border>
      <left/>
      <right style="medium">
        <color theme="0"/>
      </right>
      <top/>
      <bottom/>
      <diagonal/>
    </border>
    <border>
      <left style="medium">
        <color rgb="FFFFFFFF"/>
      </left>
      <right style="medium">
        <color rgb="FFFFFFFF"/>
      </right>
      <top/>
      <bottom style="medium">
        <color theme="0"/>
      </bottom>
      <diagonal/>
    </border>
    <border>
      <left/>
      <right style="medium">
        <color rgb="FFFFFFFF"/>
      </right>
      <top/>
      <bottom style="medium">
        <color theme="0"/>
      </bottom>
      <diagonal/>
    </border>
    <border>
      <left/>
      <right style="medium">
        <color theme="0"/>
      </right>
      <top/>
      <bottom style="medium">
        <color theme="0"/>
      </bottom>
      <diagonal/>
    </border>
    <border>
      <left/>
      <right style="medium">
        <color rgb="FFFFFFFF"/>
      </right>
      <top style="medium">
        <color theme="0"/>
      </top>
      <bottom/>
      <diagonal/>
    </border>
  </borders>
  <cellStyleXfs count="3">
    <xf numFmtId="0" fontId="0" fillId="0" borderId="0"/>
    <xf numFmtId="0" fontId="3" fillId="5" borderId="0" applyNumberFormat="0" applyBorder="0" applyAlignment="0" applyProtection="0"/>
    <xf numFmtId="43" fontId="8" fillId="0" borderId="0" applyFont="0" applyFill="0" applyBorder="0" applyAlignment="0" applyProtection="0"/>
  </cellStyleXfs>
  <cellXfs count="57">
    <xf numFmtId="0" fontId="0" fillId="0" borderId="0" xfId="0"/>
    <xf numFmtId="0" fontId="0" fillId="0" borderId="0" xfId="0" applyAlignment="1">
      <alignment wrapText="1"/>
    </xf>
    <xf numFmtId="0" fontId="2" fillId="2" borderId="1" xfId="0" applyFont="1" applyFill="1" applyBorder="1" applyAlignment="1">
      <alignment horizontal="center" vertical="center" wrapText="1" readingOrder="1"/>
    </xf>
    <xf numFmtId="0" fontId="0" fillId="0" borderId="0" xfId="0" applyAlignment="1">
      <alignment horizontal="center" wrapText="1"/>
    </xf>
    <xf numFmtId="0" fontId="0" fillId="0" borderId="0" xfId="0" applyAlignment="1">
      <alignment horizontal="center"/>
    </xf>
    <xf numFmtId="164" fontId="4" fillId="5" borderId="3" xfId="1" quotePrefix="1" applyNumberFormat="1" applyFont="1" applyBorder="1" applyAlignment="1">
      <alignment horizontal="center" vertical="center" wrapText="1" readingOrder="1"/>
    </xf>
    <xf numFmtId="0" fontId="1" fillId="3" borderId="3" xfId="0" quotePrefix="1" applyFont="1" applyFill="1" applyBorder="1" applyAlignment="1">
      <alignment horizontal="center" vertical="center" wrapText="1" readingOrder="1"/>
    </xf>
    <xf numFmtId="0" fontId="2" fillId="4" borderId="1" xfId="0" applyFont="1" applyFill="1" applyBorder="1" applyAlignment="1">
      <alignment horizontal="center" vertical="center" wrapText="1" readingOrder="1"/>
    </xf>
    <xf numFmtId="0" fontId="2" fillId="4" borderId="2" xfId="0" applyFont="1" applyFill="1" applyBorder="1" applyAlignment="1">
      <alignment horizontal="center" vertical="center" wrapText="1" readingOrder="1"/>
    </xf>
    <xf numFmtId="3" fontId="1" fillId="3" borderId="3" xfId="0" quotePrefix="1" applyNumberFormat="1" applyFont="1" applyFill="1" applyBorder="1" applyAlignment="1">
      <alignment horizontal="center" vertical="center" wrapText="1" readingOrder="1"/>
    </xf>
    <xf numFmtId="44" fontId="4" fillId="5" borderId="3" xfId="1" quotePrefix="1" applyNumberFormat="1" applyFont="1" applyBorder="1" applyAlignment="1">
      <alignment horizontal="center" vertical="center" wrapText="1" readingOrder="1"/>
    </xf>
    <xf numFmtId="3" fontId="1" fillId="3" borderId="3" xfId="0" quotePrefix="1" applyNumberFormat="1" applyFont="1" applyFill="1" applyBorder="1" applyAlignment="1">
      <alignment horizontal="left" vertical="center" wrapText="1" readingOrder="1"/>
    </xf>
    <xf numFmtId="0" fontId="1" fillId="3" borderId="3" xfId="0" quotePrefix="1" applyFont="1" applyFill="1" applyBorder="1" applyAlignment="1">
      <alignment horizontal="left" vertical="center" wrapText="1" readingOrder="1"/>
    </xf>
    <xf numFmtId="0" fontId="5" fillId="3" borderId="3" xfId="0" quotePrefix="1" applyFont="1" applyFill="1" applyBorder="1" applyAlignment="1">
      <alignment horizontal="center" vertical="center" wrapText="1" readingOrder="1"/>
    </xf>
    <xf numFmtId="1" fontId="1" fillId="3" borderId="3" xfId="0" quotePrefix="1" applyNumberFormat="1" applyFont="1" applyFill="1" applyBorder="1" applyAlignment="1">
      <alignment horizontal="center" vertical="center" wrapText="1" readingOrder="1"/>
    </xf>
    <xf numFmtId="0" fontId="1" fillId="3" borderId="5" xfId="0" applyFont="1" applyFill="1" applyBorder="1" applyAlignment="1">
      <alignment horizontal="center" vertical="center" wrapText="1"/>
    </xf>
    <xf numFmtId="165" fontId="4" fillId="5" borderId="3" xfId="1" quotePrefix="1" applyNumberFormat="1" applyFont="1" applyBorder="1" applyAlignment="1">
      <alignment horizontal="center" vertical="center" wrapText="1" readingOrder="1"/>
    </xf>
    <xf numFmtId="0" fontId="1" fillId="3" borderId="4" xfId="0" quotePrefix="1" applyFont="1" applyFill="1" applyBorder="1" applyAlignment="1">
      <alignment vertical="center" wrapText="1" readingOrder="1"/>
    </xf>
    <xf numFmtId="164" fontId="7" fillId="5" borderId="3" xfId="1" quotePrefix="1" applyNumberFormat="1" applyFont="1" applyBorder="1" applyAlignment="1">
      <alignment horizontal="center" vertical="center" wrapText="1" readingOrder="1"/>
    </xf>
    <xf numFmtId="166" fontId="1" fillId="3" borderId="3" xfId="2" quotePrefix="1" applyNumberFormat="1" applyFont="1" applyFill="1" applyBorder="1" applyAlignment="1">
      <alignment horizontal="center" vertical="center" wrapText="1" readingOrder="1"/>
    </xf>
    <xf numFmtId="167" fontId="1" fillId="3" borderId="3" xfId="0" quotePrefix="1" applyNumberFormat="1" applyFont="1" applyFill="1" applyBorder="1" applyAlignment="1">
      <alignment horizontal="center" vertical="center" wrapText="1" readingOrder="1"/>
    </xf>
    <xf numFmtId="168" fontId="1" fillId="3" borderId="3" xfId="0" quotePrefix="1" applyNumberFormat="1" applyFont="1" applyFill="1" applyBorder="1" applyAlignment="1">
      <alignment horizontal="center" vertical="center" wrapText="1" readingOrder="1"/>
    </xf>
    <xf numFmtId="169" fontId="1" fillId="3" borderId="3" xfId="0" quotePrefix="1" applyNumberFormat="1" applyFont="1" applyFill="1" applyBorder="1" applyAlignment="1">
      <alignment horizontal="center" vertical="center" wrapText="1" readingOrder="1"/>
    </xf>
    <xf numFmtId="167" fontId="7" fillId="5" borderId="3" xfId="1" quotePrefix="1" applyNumberFormat="1" applyFont="1" applyBorder="1" applyAlignment="1">
      <alignment horizontal="center" vertical="center" wrapText="1" readingOrder="1"/>
    </xf>
    <xf numFmtId="0" fontId="1" fillId="3" borderId="21" xfId="0" quotePrefix="1" applyFont="1" applyFill="1" applyBorder="1" applyAlignment="1">
      <alignment horizontal="center" vertical="center" wrapText="1" readingOrder="1"/>
    </xf>
    <xf numFmtId="0" fontId="1" fillId="3" borderId="6" xfId="0" quotePrefix="1" applyFont="1" applyFill="1" applyBorder="1" applyAlignment="1">
      <alignment horizontal="center" vertical="center" wrapText="1" readingOrder="1"/>
    </xf>
    <xf numFmtId="0" fontId="1" fillId="3" borderId="0" xfId="0" quotePrefix="1" applyFont="1" applyFill="1" applyAlignment="1">
      <alignment horizontal="center" vertical="center" wrapText="1" readingOrder="1"/>
    </xf>
    <xf numFmtId="0" fontId="9" fillId="3" borderId="23" xfId="0" quotePrefix="1" applyFont="1" applyFill="1" applyBorder="1" applyAlignment="1">
      <alignment horizontal="center" vertical="center" wrapText="1" readingOrder="1"/>
    </xf>
    <xf numFmtId="0" fontId="9" fillId="3" borderId="7" xfId="0" quotePrefix="1" applyFont="1" applyFill="1" applyBorder="1" applyAlignment="1">
      <alignment horizontal="center" vertical="center" wrapText="1" readingOrder="1"/>
    </xf>
    <xf numFmtId="0" fontId="9" fillId="3" borderId="21" xfId="0" quotePrefix="1" applyFont="1" applyFill="1" applyBorder="1" applyAlignment="1">
      <alignment horizontal="center" vertical="center" wrapText="1" readingOrder="1"/>
    </xf>
    <xf numFmtId="0" fontId="1" fillId="3" borderId="4" xfId="0" quotePrefix="1" applyFont="1" applyFill="1" applyBorder="1" applyAlignment="1">
      <alignment horizontal="left" vertical="center" wrapText="1" readingOrder="1"/>
    </xf>
    <xf numFmtId="0" fontId="1" fillId="3" borderId="10" xfId="0" quotePrefix="1" applyFont="1" applyFill="1" applyBorder="1" applyAlignment="1">
      <alignment horizontal="left" vertical="center" wrapText="1" readingOrder="1"/>
    </xf>
    <xf numFmtId="0" fontId="1" fillId="3" borderId="16" xfId="0" quotePrefix="1" applyFont="1" applyFill="1" applyBorder="1" applyAlignment="1">
      <alignment horizontal="center" vertical="center" wrapText="1" readingOrder="1"/>
    </xf>
    <xf numFmtId="0" fontId="1" fillId="3" borderId="18" xfId="0" quotePrefix="1" applyFont="1" applyFill="1" applyBorder="1" applyAlignment="1">
      <alignment horizontal="center" vertical="center" wrapText="1" readingOrder="1"/>
    </xf>
    <xf numFmtId="0" fontId="1" fillId="3" borderId="20" xfId="0" quotePrefix="1" applyFont="1" applyFill="1" applyBorder="1" applyAlignment="1">
      <alignment horizontal="center" vertical="center" wrapText="1" readingOrder="1"/>
    </xf>
    <xf numFmtId="0" fontId="1" fillId="3" borderId="12" xfId="0" quotePrefix="1" applyFont="1" applyFill="1" applyBorder="1" applyAlignment="1">
      <alignment horizontal="left" vertical="center" wrapText="1" readingOrder="1"/>
    </xf>
    <xf numFmtId="166" fontId="1" fillId="3" borderId="8" xfId="2" quotePrefix="1" applyNumberFormat="1" applyFont="1" applyFill="1" applyBorder="1" applyAlignment="1">
      <alignment horizontal="center" vertical="center" wrapText="1" readingOrder="1"/>
    </xf>
    <xf numFmtId="166" fontId="1" fillId="3" borderId="11" xfId="2" quotePrefix="1" applyNumberFormat="1" applyFont="1" applyFill="1" applyBorder="1" applyAlignment="1">
      <alignment horizontal="center" vertical="center" wrapText="1" readingOrder="1"/>
    </xf>
    <xf numFmtId="165" fontId="4" fillId="5" borderId="15" xfId="1" quotePrefix="1" applyNumberFormat="1" applyFont="1" applyBorder="1" applyAlignment="1">
      <alignment horizontal="center" vertical="center" wrapText="1" readingOrder="1"/>
    </xf>
    <xf numFmtId="165" fontId="4" fillId="5" borderId="14" xfId="1" quotePrefix="1" applyNumberFormat="1" applyFont="1" applyBorder="1" applyAlignment="1">
      <alignment horizontal="center" vertical="center" wrapText="1" readingOrder="1"/>
    </xf>
    <xf numFmtId="0" fontId="1" fillId="3" borderId="4" xfId="0" quotePrefix="1" applyFont="1" applyFill="1" applyBorder="1" applyAlignment="1">
      <alignment horizontal="left" vertical="top" wrapText="1" readingOrder="1"/>
    </xf>
    <xf numFmtId="0" fontId="1" fillId="3" borderId="12" xfId="0" quotePrefix="1" applyFont="1" applyFill="1" applyBorder="1" applyAlignment="1">
      <alignment horizontal="left" vertical="top" wrapText="1" readingOrder="1"/>
    </xf>
    <xf numFmtId="0" fontId="1" fillId="3" borderId="4" xfId="0" quotePrefix="1" applyFont="1" applyFill="1" applyBorder="1" applyAlignment="1">
      <alignment horizontal="center" vertical="center" wrapText="1" readingOrder="1"/>
    </xf>
    <xf numFmtId="0" fontId="1" fillId="3" borderId="10" xfId="0" quotePrefix="1" applyFont="1" applyFill="1" applyBorder="1" applyAlignment="1">
      <alignment horizontal="center" vertical="center" wrapText="1" readingOrder="1"/>
    </xf>
    <xf numFmtId="0" fontId="1" fillId="3" borderId="12" xfId="0" quotePrefix="1" applyFont="1" applyFill="1" applyBorder="1" applyAlignment="1">
      <alignment horizontal="center" vertical="center" wrapText="1" readingOrder="1"/>
    </xf>
    <xf numFmtId="166" fontId="1" fillId="3" borderId="4" xfId="2" quotePrefix="1" applyNumberFormat="1" applyFont="1" applyFill="1" applyBorder="1" applyAlignment="1">
      <alignment horizontal="center" vertical="center" wrapText="1" readingOrder="1"/>
    </xf>
    <xf numFmtId="166" fontId="1" fillId="3" borderId="12" xfId="2" quotePrefix="1" applyNumberFormat="1" applyFont="1" applyFill="1" applyBorder="1" applyAlignment="1">
      <alignment horizontal="center" vertical="center" wrapText="1" readingOrder="1"/>
    </xf>
    <xf numFmtId="0" fontId="1" fillId="3" borderId="17" xfId="0" quotePrefix="1" applyFont="1" applyFill="1" applyBorder="1" applyAlignment="1">
      <alignment horizontal="left" vertical="center" wrapText="1" readingOrder="1"/>
    </xf>
    <xf numFmtId="0" fontId="1" fillId="3" borderId="19" xfId="0" quotePrefix="1" applyFont="1" applyFill="1" applyBorder="1" applyAlignment="1">
      <alignment horizontal="left" vertical="center" wrapText="1" readingOrder="1"/>
    </xf>
    <xf numFmtId="0" fontId="1" fillId="3" borderId="22" xfId="0" quotePrefix="1" applyFont="1" applyFill="1" applyBorder="1" applyAlignment="1">
      <alignment horizontal="left" vertical="center" wrapText="1" readingOrder="1"/>
    </xf>
    <xf numFmtId="0" fontId="5" fillId="3" borderId="15" xfId="0" quotePrefix="1" applyFont="1" applyFill="1" applyBorder="1" applyAlignment="1">
      <alignment horizontal="center" vertical="center" wrapText="1" readingOrder="1"/>
    </xf>
    <xf numFmtId="0" fontId="5" fillId="3" borderId="13" xfId="0" quotePrefix="1" applyFont="1" applyFill="1" applyBorder="1" applyAlignment="1">
      <alignment horizontal="center" vertical="center" wrapText="1" readingOrder="1"/>
    </xf>
    <xf numFmtId="0" fontId="5" fillId="3" borderId="14" xfId="0" quotePrefix="1" applyFont="1" applyFill="1" applyBorder="1" applyAlignment="1">
      <alignment horizontal="center" vertical="center" wrapText="1" readingOrder="1"/>
    </xf>
    <xf numFmtId="0" fontId="1" fillId="3" borderId="9" xfId="0" quotePrefix="1" applyFont="1" applyFill="1" applyBorder="1" applyAlignment="1">
      <alignment horizontal="center" vertical="center" wrapText="1" readingOrder="1"/>
    </xf>
    <xf numFmtId="0" fontId="1" fillId="3" borderId="11" xfId="0" quotePrefix="1" applyFont="1" applyFill="1" applyBorder="1" applyAlignment="1">
      <alignment horizontal="center" vertical="center" wrapText="1" readingOrder="1"/>
    </xf>
    <xf numFmtId="0" fontId="1" fillId="3" borderId="13" xfId="0" quotePrefix="1" applyFont="1" applyFill="1" applyBorder="1" applyAlignment="1">
      <alignment horizontal="center" vertical="center" wrapText="1" readingOrder="1"/>
    </xf>
    <xf numFmtId="0" fontId="1" fillId="3" borderId="14" xfId="0" quotePrefix="1" applyFont="1" applyFill="1" applyBorder="1" applyAlignment="1">
      <alignment horizontal="center" vertical="center" wrapText="1" readingOrder="1"/>
    </xf>
  </cellXfs>
  <cellStyles count="3">
    <cellStyle name="Comma" xfId="2" builtinId="3"/>
    <cellStyle name="Good" xfId="1" builtinId="26"/>
    <cellStyle name="Normal" xfId="0" builtinId="0"/>
  </cellStyles>
  <dxfs count="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1669-4D19-42D8-86BB-E55FDF20445A}">
  <dimension ref="A1:Z27"/>
  <sheetViews>
    <sheetView tabSelected="1" topLeftCell="H1" zoomScaleNormal="100" workbookViewId="0">
      <selection activeCell="Q2" sqref="Q2:Q4"/>
    </sheetView>
  </sheetViews>
  <sheetFormatPr defaultColWidth="9.109375" defaultRowHeight="14.4" x14ac:dyDescent="0.3"/>
  <cols>
    <col min="1" max="3" width="8.88671875" style="4"/>
    <col min="4" max="4" width="13.109375" style="4" customWidth="1"/>
    <col min="5" max="5" width="11.5546875" style="4" customWidth="1"/>
    <col min="6" max="6" width="11.109375" style="4" customWidth="1"/>
    <col min="7" max="7" width="20.6640625" style="4" customWidth="1"/>
    <col min="8" max="8" width="13.6640625" style="4" customWidth="1"/>
    <col min="9" max="9" width="13.88671875" style="4" customWidth="1"/>
    <col min="10" max="10" width="14.44140625" style="4" customWidth="1"/>
    <col min="11" max="11" width="10.109375" style="4" customWidth="1"/>
    <col min="12" max="12" width="9.109375" style="4" customWidth="1"/>
    <col min="13" max="13" width="12" style="4" customWidth="1"/>
    <col min="14" max="14" width="11.33203125" style="4" customWidth="1"/>
    <col min="15" max="15" width="33.44140625" style="4" customWidth="1"/>
    <col min="16" max="16" width="17.109375" style="4" customWidth="1"/>
    <col min="17" max="17" width="30.44140625" style="4" customWidth="1"/>
    <col min="18" max="18" width="15.21875" style="4" customWidth="1"/>
    <col min="19" max="19" width="18" style="4" customWidth="1"/>
    <col min="20" max="21" width="10.88671875" style="4" customWidth="1"/>
    <col min="22" max="22" width="16.33203125" style="4" customWidth="1"/>
    <col min="23" max="23" width="12.109375" style="4" bestFit="1" customWidth="1"/>
    <col min="24" max="24" width="13.5546875" style="4" customWidth="1"/>
    <col min="25" max="26" width="10.88671875" style="4" customWidth="1"/>
  </cols>
  <sheetData>
    <row r="1" spans="1:26" s="1" customFormat="1" ht="42.6" customHeight="1" thickBot="1" x14ac:dyDescent="0.35">
      <c r="A1" s="2" t="s">
        <v>0</v>
      </c>
      <c r="B1" s="2" t="s">
        <v>1</v>
      </c>
      <c r="C1" s="2" t="s">
        <v>2</v>
      </c>
      <c r="D1" s="2" t="s">
        <v>3</v>
      </c>
      <c r="E1" s="2" t="s">
        <v>4</v>
      </c>
      <c r="F1" s="2" t="s">
        <v>13</v>
      </c>
      <c r="G1" s="2" t="s">
        <v>7</v>
      </c>
      <c r="H1" s="2" t="s">
        <v>11</v>
      </c>
      <c r="I1" s="2" t="s">
        <v>8</v>
      </c>
      <c r="J1" s="2" t="s">
        <v>9</v>
      </c>
      <c r="K1" s="2" t="s">
        <v>5</v>
      </c>
      <c r="L1" s="2" t="s">
        <v>6</v>
      </c>
      <c r="M1" s="2" t="s">
        <v>37</v>
      </c>
      <c r="N1" s="2" t="s">
        <v>38</v>
      </c>
      <c r="O1" s="2" t="s">
        <v>23</v>
      </c>
      <c r="P1" s="2" t="s">
        <v>10</v>
      </c>
      <c r="Q1" s="2" t="s">
        <v>12</v>
      </c>
      <c r="R1" s="7" t="s">
        <v>14</v>
      </c>
      <c r="S1" s="7" t="s">
        <v>15</v>
      </c>
      <c r="T1" s="8" t="s">
        <v>16</v>
      </c>
      <c r="U1" s="8" t="s">
        <v>17</v>
      </c>
      <c r="V1" s="8" t="s">
        <v>20</v>
      </c>
      <c r="W1" s="8" t="s">
        <v>18</v>
      </c>
      <c r="X1" s="7" t="s">
        <v>21</v>
      </c>
      <c r="Y1" s="7" t="s">
        <v>19</v>
      </c>
      <c r="Z1" s="7" t="s">
        <v>22</v>
      </c>
    </row>
    <row r="2" spans="1:26" s="1" customFormat="1" ht="75" customHeight="1" thickBot="1" x14ac:dyDescent="0.35">
      <c r="A2" s="53">
        <v>1</v>
      </c>
      <c r="B2" s="53" t="s">
        <v>44</v>
      </c>
      <c r="C2" s="15" t="s">
        <v>24</v>
      </c>
      <c r="D2" s="15" t="s">
        <v>45</v>
      </c>
      <c r="E2" s="15" t="s">
        <v>67</v>
      </c>
      <c r="F2" s="15" t="s">
        <v>43</v>
      </c>
      <c r="G2" s="6" t="s">
        <v>60</v>
      </c>
      <c r="H2" s="6" t="s">
        <v>61</v>
      </c>
      <c r="I2" s="6" t="s">
        <v>62</v>
      </c>
      <c r="J2" s="43" t="s">
        <v>49</v>
      </c>
      <c r="K2" s="55" t="s">
        <v>50</v>
      </c>
      <c r="L2" s="43" t="s">
        <v>51</v>
      </c>
      <c r="M2" s="6" t="s">
        <v>63</v>
      </c>
      <c r="N2" s="6" t="s">
        <v>64</v>
      </c>
      <c r="O2" s="31" t="s">
        <v>81</v>
      </c>
      <c r="P2" s="50" t="s">
        <v>124</v>
      </c>
      <c r="Q2" s="30" t="s">
        <v>125</v>
      </c>
      <c r="R2" s="9" t="s">
        <v>59</v>
      </c>
      <c r="S2" s="9" t="s">
        <v>84</v>
      </c>
      <c r="T2" s="9">
        <v>378979</v>
      </c>
      <c r="U2" s="9">
        <v>3410814</v>
      </c>
      <c r="V2" s="5">
        <f>(0.74-0.64)*T2</f>
        <v>37897.899999999994</v>
      </c>
      <c r="W2" s="5">
        <f>(0.74-0.64)*U2</f>
        <v>341081.39999999991</v>
      </c>
      <c r="X2" s="9">
        <v>277000</v>
      </c>
      <c r="Y2" s="19">
        <v>4352</v>
      </c>
      <c r="Z2" s="16">
        <f>Y2-X2</f>
        <v>-272648</v>
      </c>
    </row>
    <row r="3" spans="1:26" s="1" customFormat="1" ht="73.8" customHeight="1" thickBot="1" x14ac:dyDescent="0.35">
      <c r="A3" s="53"/>
      <c r="B3" s="53"/>
      <c r="C3" s="15" t="s">
        <v>24</v>
      </c>
      <c r="D3" s="15" t="s">
        <v>45</v>
      </c>
      <c r="E3" s="15" t="s">
        <v>67</v>
      </c>
      <c r="F3" s="15" t="s">
        <v>43</v>
      </c>
      <c r="G3" s="6" t="s">
        <v>56</v>
      </c>
      <c r="H3" s="6" t="s">
        <v>57</v>
      </c>
      <c r="I3" s="6" t="s">
        <v>58</v>
      </c>
      <c r="J3" s="43"/>
      <c r="K3" s="55"/>
      <c r="L3" s="43"/>
      <c r="M3" s="6" t="s">
        <v>52</v>
      </c>
      <c r="N3" s="6" t="s">
        <v>85</v>
      </c>
      <c r="O3" s="31"/>
      <c r="P3" s="51"/>
      <c r="Q3" s="31"/>
      <c r="R3" s="9" t="s">
        <v>59</v>
      </c>
      <c r="S3" s="9" t="s">
        <v>83</v>
      </c>
      <c r="T3" s="9">
        <v>165280</v>
      </c>
      <c r="U3" s="9">
        <v>1322241</v>
      </c>
      <c r="V3" s="5">
        <f>(0.67-0.64)*T3</f>
        <v>4958.4000000000042</v>
      </c>
      <c r="W3" s="5">
        <f>(0.67-0.64)*U3</f>
        <v>39667.230000000032</v>
      </c>
      <c r="X3" s="9">
        <v>0</v>
      </c>
      <c r="Y3" s="19">
        <v>138908</v>
      </c>
      <c r="Z3" s="10">
        <f t="shared" ref="Z3" si="0">Y3-X3</f>
        <v>138908</v>
      </c>
    </row>
    <row r="4" spans="1:26" s="1" customFormat="1" ht="107.4" customHeight="1" thickBot="1" x14ac:dyDescent="0.35">
      <c r="A4" s="54"/>
      <c r="B4" s="54"/>
      <c r="C4" s="15" t="s">
        <v>24</v>
      </c>
      <c r="D4" s="15" t="s">
        <v>45</v>
      </c>
      <c r="E4" s="15" t="s">
        <v>67</v>
      </c>
      <c r="F4" s="15" t="s">
        <v>43</v>
      </c>
      <c r="G4" s="15" t="s">
        <v>46</v>
      </c>
      <c r="H4" s="15" t="s">
        <v>47</v>
      </c>
      <c r="I4" s="15" t="s">
        <v>48</v>
      </c>
      <c r="J4" s="44"/>
      <c r="K4" s="56"/>
      <c r="L4" s="44"/>
      <c r="M4" s="15" t="s">
        <v>52</v>
      </c>
      <c r="N4" s="15" t="s">
        <v>53</v>
      </c>
      <c r="O4" s="35"/>
      <c r="P4" s="52"/>
      <c r="Q4" s="35"/>
      <c r="R4" s="9" t="s">
        <v>54</v>
      </c>
      <c r="S4" s="9" t="s">
        <v>55</v>
      </c>
      <c r="T4" s="9">
        <v>525895</v>
      </c>
      <c r="U4" s="9">
        <v>4733055</v>
      </c>
      <c r="V4" s="5">
        <f>(0.18-0.12)*T4</f>
        <v>31553.699999999997</v>
      </c>
      <c r="W4" s="5">
        <f>(0.18-0.12)*U4</f>
        <v>283983.3</v>
      </c>
      <c r="X4" s="9">
        <v>0</v>
      </c>
      <c r="Y4" s="19">
        <v>49529</v>
      </c>
      <c r="Z4" s="10">
        <f>Y4-X4</f>
        <v>49529</v>
      </c>
    </row>
    <row r="5" spans="1:26" s="1" customFormat="1" ht="153.6" customHeight="1" thickBot="1" x14ac:dyDescent="0.35">
      <c r="A5" s="6">
        <v>2</v>
      </c>
      <c r="B5" s="6" t="s">
        <v>26</v>
      </c>
      <c r="C5" s="6" t="s">
        <v>24</v>
      </c>
      <c r="D5" s="15" t="s">
        <v>45</v>
      </c>
      <c r="E5" s="9" t="s">
        <v>27</v>
      </c>
      <c r="F5" s="9" t="s">
        <v>28</v>
      </c>
      <c r="G5" s="14">
        <v>110000035117</v>
      </c>
      <c r="H5" s="6" t="s">
        <v>29</v>
      </c>
      <c r="I5" s="6" t="s">
        <v>30</v>
      </c>
      <c r="J5" s="6" t="s">
        <v>31</v>
      </c>
      <c r="K5" s="9" t="s">
        <v>32</v>
      </c>
      <c r="L5" s="9" t="s">
        <v>25</v>
      </c>
      <c r="M5" s="6" t="s">
        <v>73</v>
      </c>
      <c r="N5" s="6" t="s">
        <v>74</v>
      </c>
      <c r="O5" s="12" t="s">
        <v>100</v>
      </c>
      <c r="P5" s="13" t="s">
        <v>122</v>
      </c>
      <c r="Q5" s="11"/>
      <c r="R5" s="9" t="s">
        <v>35</v>
      </c>
      <c r="S5" s="6" t="s">
        <v>36</v>
      </c>
      <c r="T5" s="9">
        <v>28163</v>
      </c>
      <c r="U5" s="9">
        <v>253464</v>
      </c>
      <c r="V5" s="5">
        <f>(183.17-175)*28163/100</f>
        <v>2300.9170999999965</v>
      </c>
      <c r="W5" s="5">
        <f>(183.17-175)*253464/100</f>
        <v>20708.008799999967</v>
      </c>
      <c r="X5" s="9" t="s">
        <v>39</v>
      </c>
      <c r="Y5" s="6" t="s">
        <v>40</v>
      </c>
      <c r="Z5" s="10">
        <f>286000/8.3-39157</f>
        <v>-4699.168674698798</v>
      </c>
    </row>
    <row r="6" spans="1:26" s="1" customFormat="1" ht="45" customHeight="1" thickBot="1" x14ac:dyDescent="0.35">
      <c r="A6" s="6">
        <v>3</v>
      </c>
      <c r="B6" s="6" t="s">
        <v>26</v>
      </c>
      <c r="C6" s="6" t="s">
        <v>24</v>
      </c>
      <c r="D6" s="15" t="s">
        <v>65</v>
      </c>
      <c r="E6" s="9" t="s">
        <v>66</v>
      </c>
      <c r="F6" s="9" t="s">
        <v>68</v>
      </c>
      <c r="G6" s="14">
        <v>110000034871</v>
      </c>
      <c r="H6" s="6" t="s">
        <v>69</v>
      </c>
      <c r="I6" s="6" t="s">
        <v>70</v>
      </c>
      <c r="J6" s="6" t="s">
        <v>71</v>
      </c>
      <c r="K6" s="9" t="s">
        <v>72</v>
      </c>
      <c r="L6" s="9" t="s">
        <v>25</v>
      </c>
      <c r="M6" s="19" t="s">
        <v>75</v>
      </c>
      <c r="N6" s="19" t="s">
        <v>76</v>
      </c>
      <c r="O6" s="17" t="s">
        <v>77</v>
      </c>
      <c r="P6" s="13" t="s">
        <v>122</v>
      </c>
      <c r="Q6" s="6"/>
      <c r="R6" s="9" t="s">
        <v>78</v>
      </c>
      <c r="S6" s="9" t="s">
        <v>79</v>
      </c>
      <c r="T6" s="9">
        <v>88017</v>
      </c>
      <c r="U6" s="9">
        <v>880174</v>
      </c>
      <c r="V6" s="18">
        <f>(0.6646-0.6709)*T6</f>
        <v>-554.50710000000731</v>
      </c>
      <c r="W6" s="18">
        <f>(0.6646-0.6709)*U6</f>
        <v>-5545.0962000000736</v>
      </c>
      <c r="X6" s="9" t="s">
        <v>80</v>
      </c>
      <c r="Y6" s="6" t="s">
        <v>82</v>
      </c>
      <c r="Z6" s="10">
        <v>0</v>
      </c>
    </row>
    <row r="7" spans="1:26" s="1" customFormat="1" ht="45" customHeight="1" thickBot="1" x14ac:dyDescent="0.35">
      <c r="A7" s="6">
        <v>4</v>
      </c>
      <c r="B7" s="6" t="s">
        <v>86</v>
      </c>
      <c r="C7" s="6" t="s">
        <v>24</v>
      </c>
      <c r="D7" s="15" t="s">
        <v>45</v>
      </c>
      <c r="E7" s="9" t="s">
        <v>88</v>
      </c>
      <c r="F7" s="9" t="s">
        <v>87</v>
      </c>
      <c r="G7" s="6" t="s">
        <v>91</v>
      </c>
      <c r="H7" s="6" t="s">
        <v>90</v>
      </c>
      <c r="I7" s="6" t="s">
        <v>92</v>
      </c>
      <c r="J7" s="6" t="s">
        <v>33</v>
      </c>
      <c r="K7" s="9" t="s">
        <v>34</v>
      </c>
      <c r="L7" s="9" t="s">
        <v>25</v>
      </c>
      <c r="M7" s="19" t="s">
        <v>94</v>
      </c>
      <c r="N7" s="19" t="s">
        <v>95</v>
      </c>
      <c r="O7" s="40" t="s">
        <v>99</v>
      </c>
      <c r="P7" s="13" t="s">
        <v>123</v>
      </c>
      <c r="Q7" s="6" t="s">
        <v>98</v>
      </c>
      <c r="R7" s="9" t="s">
        <v>96</v>
      </c>
      <c r="S7" s="9" t="s">
        <v>97</v>
      </c>
      <c r="T7" s="9">
        <v>34459</v>
      </c>
      <c r="U7" s="9">
        <v>310127</v>
      </c>
      <c r="V7" s="18">
        <f>(0.481-0.6)*T7</f>
        <v>-4100.6210000000001</v>
      </c>
      <c r="W7" s="18">
        <f>(0.481-0.6)*U7</f>
        <v>-36905.112999999998</v>
      </c>
      <c r="X7" s="45">
        <v>140000</v>
      </c>
      <c r="Y7" s="36">
        <v>36308</v>
      </c>
      <c r="Z7" s="38">
        <f>Y7-X7</f>
        <v>-103692</v>
      </c>
    </row>
    <row r="8" spans="1:26" s="1" customFormat="1" ht="45" customHeight="1" thickBot="1" x14ac:dyDescent="0.35">
      <c r="A8" s="6">
        <v>5</v>
      </c>
      <c r="B8" s="6" t="s">
        <v>86</v>
      </c>
      <c r="C8" s="6" t="s">
        <v>24</v>
      </c>
      <c r="D8" s="15" t="s">
        <v>45</v>
      </c>
      <c r="E8" s="9" t="s">
        <v>88</v>
      </c>
      <c r="F8" s="9" t="s">
        <v>87</v>
      </c>
      <c r="G8" s="6" t="s">
        <v>89</v>
      </c>
      <c r="H8" s="6" t="s">
        <v>90</v>
      </c>
      <c r="I8" s="6" t="s">
        <v>93</v>
      </c>
      <c r="J8" s="6" t="s">
        <v>33</v>
      </c>
      <c r="K8" s="9" t="s">
        <v>34</v>
      </c>
      <c r="L8" s="9" t="s">
        <v>25</v>
      </c>
      <c r="M8" s="19" t="s">
        <v>94</v>
      </c>
      <c r="N8" s="19" t="s">
        <v>95</v>
      </c>
      <c r="O8" s="41"/>
      <c r="P8" s="13" t="s">
        <v>123</v>
      </c>
      <c r="Q8" s="11"/>
      <c r="R8" s="9" t="s">
        <v>96</v>
      </c>
      <c r="S8" s="9" t="s">
        <v>97</v>
      </c>
      <c r="T8" s="9">
        <v>34459</v>
      </c>
      <c r="U8" s="9">
        <v>310127</v>
      </c>
      <c r="V8" s="18">
        <f>(0.481-0.6)*T8</f>
        <v>-4100.6210000000001</v>
      </c>
      <c r="W8" s="18">
        <f>(0.481-0.6)*U8</f>
        <v>-36905.112999999998</v>
      </c>
      <c r="X8" s="46"/>
      <c r="Y8" s="37"/>
      <c r="Z8" s="39"/>
    </row>
    <row r="9" spans="1:26" s="1" customFormat="1" ht="58.8" customHeight="1" thickBot="1" x14ac:dyDescent="0.35">
      <c r="A9" s="25">
        <v>7</v>
      </c>
      <c r="B9" s="32" t="s">
        <v>86</v>
      </c>
      <c r="C9" s="32" t="s">
        <v>42</v>
      </c>
      <c r="D9" s="32" t="s">
        <v>101</v>
      </c>
      <c r="E9" s="32" t="s">
        <v>102</v>
      </c>
      <c r="F9" s="32" t="s">
        <v>103</v>
      </c>
      <c r="G9" s="32" t="s">
        <v>104</v>
      </c>
      <c r="H9" s="42" t="s">
        <v>105</v>
      </c>
      <c r="I9" s="6" t="s">
        <v>106</v>
      </c>
      <c r="J9" s="32" t="s">
        <v>107</v>
      </c>
      <c r="K9" s="32" t="s">
        <v>108</v>
      </c>
      <c r="L9" s="32" t="s">
        <v>51</v>
      </c>
      <c r="M9" s="32" t="s">
        <v>109</v>
      </c>
      <c r="N9" s="32" t="s">
        <v>110</v>
      </c>
      <c r="O9" s="30" t="s">
        <v>120</v>
      </c>
      <c r="P9" s="27" t="s">
        <v>119</v>
      </c>
      <c r="Q9" s="47" t="s">
        <v>121</v>
      </c>
      <c r="R9" s="20">
        <v>1.6</v>
      </c>
      <c r="S9" s="21">
        <v>1.5832999999999999</v>
      </c>
      <c r="T9" s="22">
        <v>8794</v>
      </c>
      <c r="U9" s="22">
        <v>79147</v>
      </c>
      <c r="V9" s="22">
        <v>-415.07680000000113</v>
      </c>
      <c r="W9" s="22">
        <v>-3735.7384000000102</v>
      </c>
      <c r="X9" s="23">
        <v>0</v>
      </c>
      <c r="Y9" s="23">
        <v>0</v>
      </c>
      <c r="Z9" s="23">
        <v>0</v>
      </c>
    </row>
    <row r="10" spans="1:26" s="1" customFormat="1" ht="45" customHeight="1" thickBot="1" x14ac:dyDescent="0.35">
      <c r="A10" s="26"/>
      <c r="B10" s="33"/>
      <c r="C10" s="33"/>
      <c r="D10" s="33"/>
      <c r="E10" s="33"/>
      <c r="F10" s="33"/>
      <c r="G10" s="33"/>
      <c r="H10" s="43"/>
      <c r="I10" s="6" t="s">
        <v>111</v>
      </c>
      <c r="J10" s="33"/>
      <c r="K10" s="33"/>
      <c r="L10" s="33"/>
      <c r="M10" s="33"/>
      <c r="N10" s="33"/>
      <c r="O10" s="31"/>
      <c r="P10" s="28"/>
      <c r="Q10" s="48"/>
      <c r="R10" s="20">
        <v>1.6</v>
      </c>
      <c r="S10" s="21">
        <v>1.5282</v>
      </c>
      <c r="T10" s="22">
        <v>8794</v>
      </c>
      <c r="U10" s="22">
        <v>79146</v>
      </c>
      <c r="V10" s="22">
        <v>-898.74680000000058</v>
      </c>
      <c r="W10" s="22">
        <v>-8088.7212000000054</v>
      </c>
      <c r="X10" s="23">
        <v>0</v>
      </c>
      <c r="Y10" s="23">
        <v>0</v>
      </c>
      <c r="Z10" s="23">
        <v>0</v>
      </c>
    </row>
    <row r="11" spans="1:26" s="1" customFormat="1" ht="45" customHeight="1" thickBot="1" x14ac:dyDescent="0.35">
      <c r="A11" s="26"/>
      <c r="B11" s="33"/>
      <c r="C11" s="33"/>
      <c r="D11" s="33"/>
      <c r="E11" s="33"/>
      <c r="F11" s="33"/>
      <c r="G11" s="33"/>
      <c r="H11" s="43"/>
      <c r="I11" s="6" t="s">
        <v>112</v>
      </c>
      <c r="J11" s="33"/>
      <c r="K11" s="33"/>
      <c r="L11" s="33"/>
      <c r="M11" s="33"/>
      <c r="N11" s="33"/>
      <c r="O11" s="31"/>
      <c r="P11" s="28"/>
      <c r="Q11" s="48"/>
      <c r="R11" s="20">
        <v>1.55</v>
      </c>
      <c r="S11" s="21">
        <v>1.5933999999999999</v>
      </c>
      <c r="T11" s="22">
        <v>48350</v>
      </c>
      <c r="U11" s="22">
        <v>435150</v>
      </c>
      <c r="V11" s="22">
        <v>618.87999999999624</v>
      </c>
      <c r="W11" s="22">
        <v>5569.9199999999664</v>
      </c>
      <c r="X11" s="23">
        <v>0</v>
      </c>
      <c r="Y11" s="23">
        <v>0</v>
      </c>
      <c r="Z11" s="23">
        <v>0</v>
      </c>
    </row>
    <row r="12" spans="1:26" s="1" customFormat="1" ht="42.6" customHeight="1" thickBot="1" x14ac:dyDescent="0.35">
      <c r="A12" s="26"/>
      <c r="B12" s="33"/>
      <c r="C12" s="33"/>
      <c r="D12" s="33"/>
      <c r="E12" s="33"/>
      <c r="F12" s="33"/>
      <c r="G12" s="33"/>
      <c r="H12" s="43"/>
      <c r="I12" s="6" t="s">
        <v>113</v>
      </c>
      <c r="J12" s="33"/>
      <c r="K12" s="33"/>
      <c r="L12" s="33"/>
      <c r="M12" s="33"/>
      <c r="N12" s="33"/>
      <c r="O12" s="31"/>
      <c r="P12" s="28"/>
      <c r="Q12" s="48"/>
      <c r="R12" s="20">
        <v>1.55</v>
      </c>
      <c r="S12" s="21">
        <v>1.5383</v>
      </c>
      <c r="T12" s="22">
        <v>50763</v>
      </c>
      <c r="U12" s="22">
        <v>456865</v>
      </c>
      <c r="V12" s="22">
        <v>-2137.1223000000014</v>
      </c>
      <c r="W12" s="22">
        <v>-19234.016500000012</v>
      </c>
      <c r="X12" s="23">
        <v>0</v>
      </c>
      <c r="Y12" s="23">
        <v>0</v>
      </c>
      <c r="Z12" s="23">
        <v>0</v>
      </c>
    </row>
    <row r="13" spans="1:26" s="1" customFormat="1" ht="42.6" customHeight="1" thickBot="1" x14ac:dyDescent="0.35">
      <c r="A13" s="26"/>
      <c r="B13" s="33"/>
      <c r="C13" s="33"/>
      <c r="D13" s="33"/>
      <c r="E13" s="33"/>
      <c r="F13" s="33"/>
      <c r="G13" s="33"/>
      <c r="H13" s="43"/>
      <c r="I13" s="6" t="s">
        <v>114</v>
      </c>
      <c r="J13" s="33"/>
      <c r="K13" s="33"/>
      <c r="L13" s="33"/>
      <c r="M13" s="33"/>
      <c r="N13" s="33"/>
      <c r="O13" s="31"/>
      <c r="P13" s="28"/>
      <c r="Q13" s="48"/>
      <c r="R13" s="20">
        <v>1</v>
      </c>
      <c r="S13" s="21">
        <v>1.4195</v>
      </c>
      <c r="T13" s="22">
        <v>111179</v>
      </c>
      <c r="U13" s="22">
        <v>1000613</v>
      </c>
      <c r="V13" s="22">
        <v>44304.831500000008</v>
      </c>
      <c r="W13" s="22">
        <v>398744.28050000005</v>
      </c>
      <c r="X13" s="23">
        <v>0</v>
      </c>
      <c r="Y13" s="23">
        <v>0</v>
      </c>
      <c r="Z13" s="23">
        <v>0</v>
      </c>
    </row>
    <row r="14" spans="1:26" s="1" customFormat="1" ht="42.6" customHeight="1" thickBot="1" x14ac:dyDescent="0.35">
      <c r="A14" s="26"/>
      <c r="B14" s="33"/>
      <c r="C14" s="33"/>
      <c r="D14" s="33"/>
      <c r="E14" s="33"/>
      <c r="F14" s="33"/>
      <c r="G14" s="33"/>
      <c r="H14" s="43"/>
      <c r="I14" s="6" t="s">
        <v>115</v>
      </c>
      <c r="J14" s="33"/>
      <c r="K14" s="33"/>
      <c r="L14" s="33"/>
      <c r="M14" s="33"/>
      <c r="N14" s="33"/>
      <c r="O14" s="31"/>
      <c r="P14" s="28"/>
      <c r="Q14" s="48"/>
      <c r="R14" s="20">
        <v>1.7</v>
      </c>
      <c r="S14" s="21">
        <v>2.0133999999999999</v>
      </c>
      <c r="T14" s="22">
        <v>25042</v>
      </c>
      <c r="U14" s="22">
        <v>225375</v>
      </c>
      <c r="V14" s="22">
        <v>7319.7766000000001</v>
      </c>
      <c r="W14" s="22">
        <v>65877.112500000003</v>
      </c>
      <c r="X14" s="23">
        <v>0</v>
      </c>
      <c r="Y14" s="23">
        <v>0</v>
      </c>
      <c r="Z14" s="23">
        <v>0</v>
      </c>
    </row>
    <row r="15" spans="1:26" s="1" customFormat="1" ht="42.6" customHeight="1" thickBot="1" x14ac:dyDescent="0.35">
      <c r="A15" s="26"/>
      <c r="B15" s="33"/>
      <c r="C15" s="33"/>
      <c r="D15" s="33"/>
      <c r="E15" s="33"/>
      <c r="F15" s="33"/>
      <c r="G15" s="33"/>
      <c r="H15" s="43"/>
      <c r="I15" s="6" t="s">
        <v>116</v>
      </c>
      <c r="J15" s="33"/>
      <c r="K15" s="33"/>
      <c r="L15" s="33"/>
      <c r="M15" s="33"/>
      <c r="N15" s="33"/>
      <c r="O15" s="31"/>
      <c r="P15" s="28"/>
      <c r="Q15" s="48"/>
      <c r="R15" s="20">
        <v>2.1</v>
      </c>
      <c r="S15" s="21">
        <v>2.1071</v>
      </c>
      <c r="T15" s="22">
        <v>10966</v>
      </c>
      <c r="U15" s="22">
        <v>98695</v>
      </c>
      <c r="V15" s="22">
        <v>-130.49540000000266</v>
      </c>
      <c r="W15" s="22">
        <v>-1174.470500000024</v>
      </c>
      <c r="X15" s="23">
        <v>0</v>
      </c>
      <c r="Y15" s="23">
        <v>0</v>
      </c>
      <c r="Z15" s="23">
        <v>0</v>
      </c>
    </row>
    <row r="16" spans="1:26" s="1" customFormat="1" ht="42.6" customHeight="1" thickBot="1" x14ac:dyDescent="0.35">
      <c r="A16" s="26"/>
      <c r="B16" s="34"/>
      <c r="C16" s="34"/>
      <c r="D16" s="34"/>
      <c r="E16" s="34"/>
      <c r="F16" s="34"/>
      <c r="G16" s="34"/>
      <c r="H16" s="43"/>
      <c r="I16" s="6" t="s">
        <v>117</v>
      </c>
      <c r="J16" s="34"/>
      <c r="K16" s="34"/>
      <c r="L16" s="34"/>
      <c r="M16" s="34"/>
      <c r="N16" s="34"/>
      <c r="O16" s="31"/>
      <c r="P16" s="28"/>
      <c r="Q16" s="48"/>
      <c r="R16" s="20">
        <v>2.1</v>
      </c>
      <c r="S16" s="21">
        <v>2.0520999999999998</v>
      </c>
      <c r="T16" s="22">
        <v>10966</v>
      </c>
      <c r="U16" s="22">
        <v>98695</v>
      </c>
      <c r="V16" s="22">
        <v>-733.62539999999956</v>
      </c>
      <c r="W16" s="22">
        <v>-6602.6954999999962</v>
      </c>
      <c r="X16" s="23">
        <v>0</v>
      </c>
      <c r="Y16" s="23">
        <v>0</v>
      </c>
      <c r="Z16" s="23">
        <v>0</v>
      </c>
    </row>
    <row r="17" spans="1:26" s="1" customFormat="1" ht="42.6" customHeight="1" thickBot="1" x14ac:dyDescent="0.35">
      <c r="A17" s="26"/>
      <c r="B17" s="6" t="s">
        <v>41</v>
      </c>
      <c r="C17" s="24" t="s">
        <v>42</v>
      </c>
      <c r="D17" s="24" t="s">
        <v>118</v>
      </c>
      <c r="E17" s="24" t="s">
        <v>102</v>
      </c>
      <c r="F17" s="24" t="s">
        <v>103</v>
      </c>
      <c r="G17" s="14">
        <v>110000035182</v>
      </c>
      <c r="H17" s="43"/>
      <c r="I17" s="6" t="s">
        <v>114</v>
      </c>
      <c r="J17" s="24" t="s">
        <v>107</v>
      </c>
      <c r="K17" s="24"/>
      <c r="L17" s="24"/>
      <c r="M17" s="24"/>
      <c r="N17" s="24"/>
      <c r="O17" s="31"/>
      <c r="P17" s="28"/>
      <c r="Q17" s="48"/>
      <c r="R17" s="20">
        <v>1</v>
      </c>
      <c r="S17" s="21">
        <v>1.4195</v>
      </c>
      <c r="T17" s="22">
        <v>341383</v>
      </c>
      <c r="U17" s="22">
        <v>2731062</v>
      </c>
      <c r="V17" s="22">
        <v>136041.12550000002</v>
      </c>
      <c r="W17" s="22">
        <v>1088328.2070000002</v>
      </c>
      <c r="X17" s="23">
        <v>0</v>
      </c>
      <c r="Y17" s="23">
        <v>0</v>
      </c>
      <c r="Z17" s="23">
        <v>0</v>
      </c>
    </row>
    <row r="18" spans="1:26" s="1" customFormat="1" ht="42.6" customHeight="1" thickBot="1" x14ac:dyDescent="0.35">
      <c r="A18" s="26"/>
      <c r="B18" s="6" t="s">
        <v>41</v>
      </c>
      <c r="C18" s="6" t="s">
        <v>42</v>
      </c>
      <c r="D18" s="24" t="s">
        <v>118</v>
      </c>
      <c r="E18" s="9" t="s">
        <v>102</v>
      </c>
      <c r="F18" s="9" t="s">
        <v>103</v>
      </c>
      <c r="G18" s="14">
        <v>110000035195</v>
      </c>
      <c r="H18" s="44"/>
      <c r="I18" s="6" t="s">
        <v>115</v>
      </c>
      <c r="J18" s="6" t="s">
        <v>107</v>
      </c>
      <c r="K18" s="9"/>
      <c r="L18" s="9"/>
      <c r="M18" s="6"/>
      <c r="N18" s="6"/>
      <c r="O18" s="31"/>
      <c r="P18" s="29"/>
      <c r="Q18" s="49"/>
      <c r="R18" s="20">
        <v>1.7</v>
      </c>
      <c r="S18" s="6">
        <v>2.0133999999999999</v>
      </c>
      <c r="T18" s="9">
        <v>13212</v>
      </c>
      <c r="U18" s="9">
        <v>105692</v>
      </c>
      <c r="V18" s="9">
        <v>3861.8676</v>
      </c>
      <c r="W18" s="9">
        <v>30893.7716</v>
      </c>
      <c r="X18" s="23">
        <v>0</v>
      </c>
      <c r="Y18" s="23">
        <v>0</v>
      </c>
      <c r="Z18" s="23">
        <v>0</v>
      </c>
    </row>
    <row r="19" spans="1:26" s="1" customFormat="1" ht="42.6"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s="1" customFormat="1" ht="42.6"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s="1" customFormat="1" ht="42.6"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s="1" customFormat="1" ht="42.6"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s="1" customFormat="1" ht="42.6"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s="1" customFormat="1" ht="42.6"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s="1" customFormat="1" ht="42.6"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s="1" customFormat="1" ht="42.6"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s="1" customFormat="1" ht="42.6" customHeigh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sheetData>
  <mergeCells count="28">
    <mergeCell ref="A2:A4"/>
    <mergeCell ref="B2:B4"/>
    <mergeCell ref="J2:J4"/>
    <mergeCell ref="K2:K4"/>
    <mergeCell ref="L2:L4"/>
    <mergeCell ref="O2:O4"/>
    <mergeCell ref="Y7:Y8"/>
    <mergeCell ref="Z7:Z8"/>
    <mergeCell ref="O7:O8"/>
    <mergeCell ref="B9:B16"/>
    <mergeCell ref="C9:C16"/>
    <mergeCell ref="D9:D16"/>
    <mergeCell ref="E9:E16"/>
    <mergeCell ref="F9:F16"/>
    <mergeCell ref="G9:G16"/>
    <mergeCell ref="H9:H18"/>
    <mergeCell ref="X7:X8"/>
    <mergeCell ref="Q9:Q18"/>
    <mergeCell ref="Q2:Q4"/>
    <mergeCell ref="P2:P4"/>
    <mergeCell ref="A9:A18"/>
    <mergeCell ref="P9:P18"/>
    <mergeCell ref="O9:O18"/>
    <mergeCell ref="J9:J16"/>
    <mergeCell ref="K9:K16"/>
    <mergeCell ref="L9:L16"/>
    <mergeCell ref="M9:M16"/>
    <mergeCell ref="N9:N16"/>
  </mergeCells>
  <phoneticPr fontId="6" type="noConversion"/>
  <conditionalFormatting sqref="V1:V2 Z1:Z7">
    <cfRule type="cellIs" dxfId="7" priority="39" operator="lessThan">
      <formula>0</formula>
    </cfRule>
  </conditionalFormatting>
  <conditionalFormatting sqref="V19:V1048576">
    <cfRule type="cellIs" dxfId="6" priority="110" operator="lessThan">
      <formula>0</formula>
    </cfRule>
  </conditionalFormatting>
  <conditionalFormatting sqref="V2:W8">
    <cfRule type="cellIs" dxfId="5" priority="15" operator="greaterThan">
      <formula>0</formula>
    </cfRule>
    <cfRule type="cellIs" dxfId="4" priority="16" operator="lessThan">
      <formula>0</formula>
    </cfRule>
  </conditionalFormatting>
  <conditionalFormatting sqref="X9:Z18">
    <cfRule type="cellIs" dxfId="3" priority="1" operator="greaterThan">
      <formula>0</formula>
    </cfRule>
    <cfRule type="cellIs" dxfId="2" priority="4" operator="lessThan">
      <formula>0</formula>
    </cfRule>
  </conditionalFormatting>
  <conditionalFormatting sqref="Z2:Z7">
    <cfRule type="cellIs" dxfId="1" priority="17" operator="greaterThan">
      <formula>0</formula>
    </cfRule>
  </conditionalFormatting>
  <conditionalFormatting sqref="Z9:Z1048576">
    <cfRule type="cellIs" dxfId="0" priority="2" operator="lessThan">
      <formula>0</formula>
    </cfRule>
  </conditionalFormatting>
  <pageMargins left="0.7" right="0.7" top="0.75" bottom="0.75" header="0.3" footer="0.3"/>
  <pageSetup orientation="portrait" r:id="rId1"/>
  <customProperties>
    <customPr name="_pios_id" r:id="rId2"/>
    <customPr name="Ibp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2AE94798D0E7D4487CB84FC9A87565D" ma:contentTypeVersion="10" ma:contentTypeDescription="Ein neues Dokument erstellen." ma:contentTypeScope="" ma:versionID="728a42373757fe19dbf32cb01accea12">
  <xsd:schema xmlns:xsd="http://www.w3.org/2001/XMLSchema" xmlns:xs="http://www.w3.org/2001/XMLSchema" xmlns:p="http://schemas.microsoft.com/office/2006/metadata/properties" xmlns:ns2="c58f02bd-e0b7-474b-a2bc-9a19f162f3a8" xmlns:ns3="b7d00205-0ffb-4bc2-b18e-b800942d8fea" targetNamespace="http://schemas.microsoft.com/office/2006/metadata/properties" ma:root="true" ma:fieldsID="86d1219d07439347edf1a7dd06578600" ns2:_="" ns3:_="">
    <xsd:import namespace="c58f02bd-e0b7-474b-a2bc-9a19f162f3a8"/>
    <xsd:import namespace="b7d00205-0ffb-4bc2-b18e-b800942d8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f02bd-e0b7-474b-a2bc-9a19f162f3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42c1abb6-7528-48c8-bade-a0efe80568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00205-0ffb-4bc2-b18e-b800942d8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f941d5-66b0-4dcf-b0f6-17179381c1ce}" ma:internalName="TaxCatchAll" ma:showField="CatchAllData" ma:web="b7d00205-0ffb-4bc2-b18e-b800942d8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7d00205-0ffb-4bc2-b18e-b800942d8fea" xsi:nil="true"/>
    <lcf76f155ced4ddcb4097134ff3c332f xmlns="c58f02bd-e0b7-474b-a2bc-9a19f162f3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02AF609-54B1-4DE4-BF14-41AFB668127F}"/>
</file>

<file path=customXml/itemProps2.xml><?xml version="1.0" encoding="utf-8"?>
<ds:datastoreItem xmlns:ds="http://schemas.openxmlformats.org/officeDocument/2006/customXml" ds:itemID="{6B9E3DAD-4780-4447-81D7-5F0ED637261E}"/>
</file>

<file path=customXml/itemProps3.xml><?xml version="1.0" encoding="utf-8"?>
<ds:datastoreItem xmlns:ds="http://schemas.openxmlformats.org/officeDocument/2006/customXml" ds:itemID="{17D3B678-DC40-4F37-AD65-97AE343D5A7C}"/>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KW39, 2026</vt:lpstr>
    </vt:vector>
  </TitlesOfParts>
  <Company>RVNA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Xiangwei Chen ALF RPSBE1</dc:creator>
  <cp:lastModifiedBy>Xiangwei Chen ALF RPSBE1</cp:lastModifiedBy>
  <cp:lastPrinted>2025-09-03T13:26:17Z</cp:lastPrinted>
  <dcterms:created xsi:type="dcterms:W3CDTF">2025-09-02T13:26:50Z</dcterms:created>
  <dcterms:modified xsi:type="dcterms:W3CDTF">2026-09-23T19:52:33Z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IbpWorkbookKeyString_GUID">
    <vt:lpwstr>38fc2b40-ce9d-4aa7-a82c-e708adc4547a</vt:lpwstr>
  </property>
  <property fmtid="{D5CDD505-2E9C-101B-9397-08002B2CF9AE}" pid="10" name="ContentTypeId">
    <vt:lpwstr>0x010100D2AE94798D0E7D4487CB84FC9A87565D</vt:lpwstr>
  </property>
</Properties>
</file>