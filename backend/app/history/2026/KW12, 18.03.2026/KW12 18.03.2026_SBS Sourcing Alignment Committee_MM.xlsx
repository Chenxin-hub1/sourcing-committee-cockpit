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ustomProperty1.bin" ContentType="application/vnd.openxmlformats-officedocument.spreadsheetml.customProperty"/>
  <Override PartName="/xl/customProperty2.bin" ContentType="application/vnd.openxmlformats-officedocument.spreadsheetml.customProperty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passivesafety-my.sharepoint.com/personal/xiangwei_chen_zf-lifetec_com/Documents/Program Purchasing RB/01. Sourcing/2026/Sourcing Alignment meeting/KW12, 18.03.2026/"/>
    </mc:Choice>
  </mc:AlternateContent>
  <xr:revisionPtr revIDLastSave="48" documentId="8_{EAF1BE18-B313-4B00-AF39-EC0E757341A8}" xr6:coauthVersionLast="47" xr6:coauthVersionMax="47" xr10:uidLastSave="{4D7AA428-6A55-4989-831A-36EAA8DA08EF}"/>
  <bookViews>
    <workbookView xWindow="-108" yWindow="-108" windowWidth="23256" windowHeight="12456" xr2:uid="{00000000-000D-0000-FFFF-FFFF00000000}"/>
  </bookViews>
  <sheets>
    <sheet name="KW12, 2026" sheetId="4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Z3" i="4" l="1"/>
  <c r="W3" i="4"/>
  <c r="V3" i="4"/>
  <c r="Z2" i="4"/>
  <c r="W2" i="4"/>
  <c r="V2" i="4"/>
  <c r="Z4" i="4"/>
  <c r="W4" i="4"/>
  <c r="V4" i="4"/>
  <c r="Z5" i="4" l="1"/>
</calcChain>
</file>

<file path=xl/sharedStrings.xml><?xml version="1.0" encoding="utf-8"?>
<sst xmlns="http://schemas.openxmlformats.org/spreadsheetml/2006/main" count="119" uniqueCount="85">
  <si>
    <t>#</t>
  </si>
  <si>
    <t>Region</t>
  </si>
  <si>
    <t>Type</t>
  </si>
  <si>
    <t xml:space="preserve">LT Spend </t>
  </si>
  <si>
    <t>Project/ Product</t>
  </si>
  <si>
    <t>Commodity</t>
  </si>
  <si>
    <t>Presenter</t>
  </si>
  <si>
    <t>Decision Level</t>
  </si>
  <si>
    <t>Peak Year Spend</t>
  </si>
  <si>
    <t>SWAT ID / Bundle ID</t>
  </si>
  <si>
    <t>PN</t>
  </si>
  <si>
    <t>Recommended Supplier (s)</t>
  </si>
  <si>
    <t xml:space="preserve">Sourcing Decision </t>
  </si>
  <si>
    <t>Part Description</t>
  </si>
  <si>
    <t>Notes/Task/ Resp./ Due Date</t>
  </si>
  <si>
    <t>Parent PF Code</t>
  </si>
  <si>
    <t>CQA PC PRICE</t>
  </si>
  <si>
    <t>Rec. Supplier Landed</t>
  </si>
  <si>
    <t>Average Volume</t>
  </si>
  <si>
    <t>LT volume</t>
  </si>
  <si>
    <t>LT saving</t>
  </si>
  <si>
    <t xml:space="preserve">Rec. Supplier Tooling </t>
  </si>
  <si>
    <t>Average Year Saving vs CQA</t>
  </si>
  <si>
    <t>CQA Tooling</t>
  </si>
  <si>
    <t>Tooling Saving vs CQA</t>
  </si>
  <si>
    <t>Comment</t>
  </si>
  <si>
    <t>L2</t>
  </si>
  <si>
    <t>NA</t>
  </si>
  <si>
    <t>FF 01</t>
  </si>
  <si>
    <t>FF01017
Special Gear</t>
  </si>
  <si>
    <t>B/2026/00014
110000033835</t>
  </si>
  <si>
    <t>GEAR, WHEEL TURBINE</t>
  </si>
  <si>
    <t>A028E056A</t>
  </si>
  <si>
    <t>Robert Nieczyporuk</t>
  </si>
  <si>
    <t>SPR6 GM C1UC/UL2</t>
  </si>
  <si>
    <t>B/2026/00014
110000033101</t>
  </si>
  <si>
    <t>R001E573A</t>
  </si>
  <si>
    <t>GEAR, WHEEL TURBINE Ver. II (Pin Ø2.60)</t>
  </si>
  <si>
    <t>B/2026/00014
110000032121</t>
  </si>
  <si>
    <t xml:space="preserve"> NCAR, R2, T1 SUV, T2 SUV</t>
  </si>
  <si>
    <t xml:space="preserve">BMW NCAR </t>
  </si>
  <si>
    <t>4,66 – 7,43 M€</t>
  </si>
  <si>
    <t>Dual source: 
Jinrong China
 &amp;
SFS Intec Switzerland</t>
  </si>
  <si>
    <t>1,76 - 2,17 M€</t>
  </si>
  <si>
    <t>1,18 Mpcs</t>
  </si>
  <si>
    <t>0,19 Mpcs</t>
  </si>
  <si>
    <t>1,83 Mpcs</t>
  </si>
  <si>
    <t>0,228 Mpcs</t>
  </si>
  <si>
    <t>9,61 Mpcs</t>
  </si>
  <si>
    <t>0,42 Mpcs</t>
  </si>
  <si>
    <t>CO</t>
  </si>
  <si>
    <t>AP</t>
  </si>
  <si>
    <t>New Part</t>
    <phoneticPr fontId="6" type="noConversion"/>
  </si>
  <si>
    <t>Stamping</t>
    <phoneticPr fontId="6" type="noConversion"/>
  </si>
  <si>
    <t>SC06001</t>
    <phoneticPr fontId="6" type="noConversion"/>
  </si>
  <si>
    <t>110000034114</t>
    <phoneticPr fontId="6" type="noConversion"/>
  </si>
  <si>
    <t>Height Adjuster</t>
    <phoneticPr fontId="6" type="noConversion"/>
  </si>
  <si>
    <t>Cixi Yalu</t>
    <phoneticPr fontId="6" type="noConversion"/>
  </si>
  <si>
    <t>LEO XU</t>
    <phoneticPr fontId="6" type="noConversion"/>
  </si>
  <si>
    <t>L3</t>
    <phoneticPr fontId="6" type="noConversion"/>
  </si>
  <si>
    <t>253K EUR</t>
    <phoneticPr fontId="6" type="noConversion"/>
  </si>
  <si>
    <t>1.15 Mio EUR</t>
    <phoneticPr fontId="6" type="noConversion"/>
  </si>
  <si>
    <t>Tooling cost comes from DVP test</t>
    <phoneticPr fontId="6" type="noConversion"/>
  </si>
  <si>
    <t>12.5 CNY</t>
    <phoneticPr fontId="6" type="noConversion"/>
  </si>
  <si>
    <t>R002M968A</t>
  </si>
  <si>
    <t>227K EUR</t>
    <phoneticPr fontId="6" type="noConversion"/>
  </si>
  <si>
    <t>1.29 Mio EUR</t>
    <phoneticPr fontId="6" type="noConversion"/>
  </si>
  <si>
    <t>13 CNY</t>
    <phoneticPr fontId="6" type="noConversion"/>
  </si>
  <si>
    <t>BYD EZ</t>
    <phoneticPr fontId="6" type="noConversion"/>
  </si>
  <si>
    <t>R002H192B</t>
  </si>
  <si>
    <t>12.99 CNY</t>
    <phoneticPr fontId="6" type="noConversion"/>
  </si>
  <si>
    <t>243K EUR</t>
    <phoneticPr fontId="6" type="noConversion"/>
  </si>
  <si>
    <t>992K EUR</t>
    <phoneticPr fontId="6" type="noConversion"/>
  </si>
  <si>
    <t>48290 CNY</t>
  </si>
  <si>
    <t>Changan E518</t>
  </si>
  <si>
    <t>JAC X2411</t>
  </si>
  <si>
    <t>60000 CNY</t>
  </si>
  <si>
    <t>35917 CNY</t>
  </si>
  <si>
    <t>19720 CNY</t>
  </si>
  <si>
    <t>50000 CNY</t>
  </si>
  <si>
    <t>R004C333A</t>
  </si>
  <si>
    <t>Approved</t>
  </si>
  <si>
    <t>Pending actions</t>
  </si>
  <si>
    <t>Dual source SFS, Jinrong</t>
  </si>
  <si>
    <t>1. To share SPR6.1 volume from MBEAL and all potential new biz, by region, by CL, with CM, to be considered -- PP Dawid, Phil.
2. To negotiate again with both SFS and Jinrong for better offer, combining MBEAL and other new biz volume, should bring down the gap of SFS towards Jinrong, especially for EU. --  CM Robert
3. To workout and share NPV overview by region. -- CM Robert
4. Revisit the result of previous SPR8 SFS cost analysis workshop for SPR6.1 Turbine. -- CM Robert, CE Jacek, Helmut
To arrange a workshop with Jinrong for SPR6.1 Turbine.  -- CM Robert, CE Jacek
5. Negotiation targert to be defined for SPR6.1 Turbine for each PN, each region -- PP Phil, SPR6 family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</si>
</sst>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* #,##0.00\ &quot;€&quot;_-;\-* #,##0.00\ &quot;€&quot;_-;_-* &quot;-&quot;??\ &quot;€&quot;_-;_-@_-"/>
    <numFmt numFmtId="164" formatCode="#,##0\ [$€-407];\-#,##0\ [$€-407]"/>
    <numFmt numFmtId="165" formatCode="_ [$¥-804]* #,##0.00_ ;_ [$¥-804]* \-#,##0.00_ ;_ [$¥-804]* &quot;-&quot;??_ ;_ @_ "/>
    <numFmt numFmtId="166" formatCode="_([$€-2]\ * #,##0.00_);_([$€-2]\ * \(#,##0.00\);_([$€-2]\ * &quot;-&quot;??_);_(@_)"/>
  </numFmts>
  <fonts count="8" x14ac:knownFonts="1">
    <font>
      <sz val="11"/>
      <color theme="1"/>
      <name val="Calibri"/>
      <family val="2"/>
      <scheme val="minor"/>
    </font>
    <font>
      <sz val="8"/>
      <color rgb="FF000000"/>
      <name val="Arial"/>
      <family val="2"/>
    </font>
    <font>
      <b/>
      <sz val="8"/>
      <color rgb="FFFFFFFF"/>
      <name val="Arial"/>
      <family val="2"/>
    </font>
    <font>
      <sz val="11"/>
      <color rgb="FF006100"/>
      <name val="Calibri"/>
      <family val="2"/>
      <scheme val="minor"/>
    </font>
    <font>
      <sz val="8"/>
      <color rgb="FF006100"/>
      <name val="Arial"/>
      <family val="2"/>
    </font>
    <font>
      <b/>
      <sz val="8"/>
      <color theme="9"/>
      <name val="Arial"/>
      <family val="2"/>
    </font>
    <font>
      <sz val="8"/>
      <name val="Calibri"/>
      <family val="2"/>
      <scheme val="minor"/>
    </font>
    <font>
      <b/>
      <sz val="8"/>
      <color theme="5" tint="-0.249977111117893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E73E11"/>
        <bgColor indexed="64"/>
      </patternFill>
    </fill>
    <fill>
      <patternFill patternType="solid">
        <fgColor rgb="FFF6CECC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C6EFCE"/>
      </patternFill>
    </fill>
  </fills>
  <borders count="16">
    <border>
      <left/>
      <right/>
      <top/>
      <bottom/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/>
      <diagonal/>
    </border>
    <border>
      <left style="medium">
        <color rgb="FFFFFFFF"/>
      </left>
      <right/>
      <top/>
      <bottom/>
      <diagonal/>
    </border>
    <border>
      <left style="medium">
        <color theme="0"/>
      </left>
      <right style="medium">
        <color rgb="FFFFFFFF"/>
      </right>
      <top style="medium">
        <color theme="0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theme="0"/>
      </top>
      <bottom/>
      <diagonal/>
    </border>
    <border>
      <left style="medium">
        <color theme="0"/>
      </left>
      <right style="medium">
        <color theme="0"/>
      </right>
      <top/>
      <bottom style="medium">
        <color theme="0"/>
      </bottom>
      <diagonal/>
    </border>
    <border>
      <left style="medium">
        <color theme="0"/>
      </left>
      <right style="medium">
        <color theme="0"/>
      </right>
      <top/>
      <bottom/>
      <diagonal/>
    </border>
    <border>
      <left style="medium">
        <color rgb="FFFFFFFF"/>
      </left>
      <right style="medium">
        <color theme="0"/>
      </right>
      <top style="medium">
        <color theme="0"/>
      </top>
      <bottom/>
      <diagonal/>
    </border>
    <border>
      <left style="medium">
        <color rgb="FFFFFFFF"/>
      </left>
      <right style="medium">
        <color theme="0"/>
      </right>
      <top/>
      <bottom/>
      <diagonal/>
    </border>
    <border>
      <left style="medium">
        <color rgb="FFFFFFFF"/>
      </left>
      <right style="medium">
        <color theme="0"/>
      </right>
      <top/>
      <bottom style="medium">
        <color theme="0"/>
      </bottom>
      <diagonal/>
    </border>
    <border>
      <left style="medium">
        <color theme="0"/>
      </left>
      <right style="medium">
        <color rgb="FFFFFFFF"/>
      </right>
      <top style="medium">
        <color theme="0"/>
      </top>
      <bottom/>
      <diagonal/>
    </border>
    <border>
      <left style="medium">
        <color theme="0"/>
      </left>
      <right style="medium">
        <color rgb="FFFFFFFF"/>
      </right>
      <top/>
      <bottom/>
      <diagonal/>
    </border>
    <border>
      <left style="medium">
        <color theme="0"/>
      </left>
      <right style="medium">
        <color rgb="FFFFFFFF"/>
      </right>
      <top/>
      <bottom style="medium">
        <color theme="0"/>
      </bottom>
      <diagonal/>
    </border>
    <border>
      <left style="medium">
        <color rgb="FFFFFFFF"/>
      </left>
      <right style="medium">
        <color rgb="FFFFFFFF"/>
      </right>
      <top style="medium">
        <color theme="0"/>
      </top>
      <bottom/>
      <diagonal/>
    </border>
    <border>
      <left style="medium">
        <color rgb="FFFFFFFF"/>
      </left>
      <right style="medium">
        <color rgb="FFFFFFFF"/>
      </right>
      <top/>
      <bottom/>
      <diagonal/>
    </border>
    <border>
      <left style="medium">
        <color rgb="FFFFFFFF"/>
      </left>
      <right style="medium">
        <color rgb="FFFFFFFF"/>
      </right>
      <top/>
      <bottom style="medium">
        <color theme="0"/>
      </bottom>
      <diagonal/>
    </border>
  </borders>
  <cellStyleXfs count="2">
    <xf numFmtId="0" fontId="0" fillId="0" borderId="0"/>
    <xf numFmtId="0" fontId="3" fillId="5" borderId="0" applyNumberFormat="0" applyBorder="0" applyAlignment="0" applyProtection="0"/>
  </cellStyleXfs>
  <cellXfs count="49">
    <xf numFmtId="0" fontId="0" fillId="0" borderId="0" xfId="0"/>
    <xf numFmtId="0" fontId="0" fillId="0" borderId="0" xfId="0" applyAlignment="1">
      <alignment wrapText="1"/>
    </xf>
    <xf numFmtId="0" fontId="2" fillId="2" borderId="1" xfId="0" applyFont="1" applyFill="1" applyBorder="1" applyAlignment="1">
      <alignment horizontal="center" vertical="center" wrapText="1" readingOrder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/>
    </xf>
    <xf numFmtId="164" fontId="4" fillId="5" borderId="3" xfId="1" quotePrefix="1" applyNumberFormat="1" applyFont="1" applyBorder="1" applyAlignment="1">
      <alignment horizontal="center" vertical="center" wrapText="1" readingOrder="1"/>
    </xf>
    <xf numFmtId="0" fontId="1" fillId="3" borderId="3" xfId="0" quotePrefix="1" applyFont="1" applyFill="1" applyBorder="1" applyAlignment="1">
      <alignment horizontal="center" vertical="center" wrapText="1" readingOrder="1"/>
    </xf>
    <xf numFmtId="0" fontId="2" fillId="4" borderId="1" xfId="0" applyFont="1" applyFill="1" applyBorder="1" applyAlignment="1">
      <alignment horizontal="center" vertical="center" wrapText="1" readingOrder="1"/>
    </xf>
    <xf numFmtId="0" fontId="2" fillId="4" borderId="2" xfId="0" applyFont="1" applyFill="1" applyBorder="1" applyAlignment="1">
      <alignment horizontal="center" vertical="center" wrapText="1" readingOrder="1"/>
    </xf>
    <xf numFmtId="3" fontId="1" fillId="3" borderId="3" xfId="0" quotePrefix="1" applyNumberFormat="1" applyFont="1" applyFill="1" applyBorder="1" applyAlignment="1">
      <alignment horizontal="center" vertical="center" wrapText="1" readingOrder="1"/>
    </xf>
    <xf numFmtId="44" fontId="4" fillId="5" borderId="3" xfId="1" quotePrefix="1" applyNumberFormat="1" applyFont="1" applyBorder="1" applyAlignment="1">
      <alignment horizontal="center" vertical="center" wrapText="1" readingOrder="1"/>
    </xf>
    <xf numFmtId="3" fontId="1" fillId="3" borderId="3" xfId="0" quotePrefix="1" applyNumberFormat="1" applyFont="1" applyFill="1" applyBorder="1" applyAlignment="1">
      <alignment horizontal="left" vertical="center" wrapText="1" readingOrder="1"/>
    </xf>
    <xf numFmtId="0" fontId="1" fillId="3" borderId="3" xfId="0" quotePrefix="1" applyFont="1" applyFill="1" applyBorder="1" applyAlignment="1">
      <alignment horizontal="left" vertical="center" wrapText="1" readingOrder="1"/>
    </xf>
    <xf numFmtId="0" fontId="5" fillId="3" borderId="3" xfId="0" quotePrefix="1" applyFont="1" applyFill="1" applyBorder="1" applyAlignment="1">
      <alignment horizontal="center" vertical="center" wrapText="1" readingOrder="1"/>
    </xf>
    <xf numFmtId="1" fontId="1" fillId="3" borderId="3" xfId="0" quotePrefix="1" applyNumberFormat="1" applyFont="1" applyFill="1" applyBorder="1" applyAlignment="1">
      <alignment horizontal="center" vertical="center" wrapText="1" readingOrder="1"/>
    </xf>
    <xf numFmtId="0" fontId="1" fillId="3" borderId="5" xfId="0" quotePrefix="1" applyFont="1" applyFill="1" applyBorder="1" applyAlignment="1">
      <alignment horizontal="center" vertical="center" wrapText="1" readingOrder="1"/>
    </xf>
    <xf numFmtId="0" fontId="5" fillId="3" borderId="7" xfId="0" quotePrefix="1" applyFont="1" applyFill="1" applyBorder="1" applyAlignment="1">
      <alignment vertical="center" wrapText="1" readingOrder="1"/>
    </xf>
    <xf numFmtId="165" fontId="1" fillId="3" borderId="3" xfId="0" quotePrefix="1" applyNumberFormat="1" applyFont="1" applyFill="1" applyBorder="1" applyAlignment="1">
      <alignment horizontal="center" vertical="center" wrapText="1" readingOrder="1"/>
    </xf>
    <xf numFmtId="166" fontId="1" fillId="3" borderId="3" xfId="0" quotePrefix="1" applyNumberFormat="1" applyFont="1" applyFill="1" applyBorder="1" applyAlignment="1">
      <alignment horizontal="center" vertical="center" wrapText="1" readingOrder="1"/>
    </xf>
    <xf numFmtId="0" fontId="1" fillId="3" borderId="4" xfId="0" quotePrefix="1" applyFont="1" applyFill="1" applyBorder="1" applyAlignment="1">
      <alignment horizontal="center" vertical="center" wrapText="1" readingOrder="1"/>
    </xf>
    <xf numFmtId="0" fontId="1" fillId="3" borderId="6" xfId="0" quotePrefix="1" applyFont="1" applyFill="1" applyBorder="1" applyAlignment="1">
      <alignment horizontal="center" vertical="center" wrapText="1" readingOrder="1"/>
    </xf>
    <xf numFmtId="0" fontId="1" fillId="3" borderId="5" xfId="0" quotePrefix="1" applyFont="1" applyFill="1" applyBorder="1" applyAlignment="1">
      <alignment horizontal="center" vertical="center" wrapText="1" readingOrder="1"/>
    </xf>
    <xf numFmtId="3" fontId="1" fillId="3" borderId="7" xfId="0" quotePrefix="1" applyNumberFormat="1" applyFont="1" applyFill="1" applyBorder="1" applyAlignment="1">
      <alignment horizontal="center" vertical="center" wrapText="1" readingOrder="1"/>
    </xf>
    <xf numFmtId="3" fontId="1" fillId="3" borderId="8" xfId="0" quotePrefix="1" applyNumberFormat="1" applyFont="1" applyFill="1" applyBorder="1" applyAlignment="1">
      <alignment horizontal="center" vertical="center" wrapText="1" readingOrder="1"/>
    </xf>
    <xf numFmtId="3" fontId="1" fillId="3" borderId="9" xfId="0" quotePrefix="1" applyNumberFormat="1" applyFont="1" applyFill="1" applyBorder="1" applyAlignment="1">
      <alignment horizontal="center" vertical="center" wrapText="1" readingOrder="1"/>
    </xf>
    <xf numFmtId="0" fontId="1" fillId="3" borderId="13" xfId="0" quotePrefix="1" applyFont="1" applyFill="1" applyBorder="1" applyAlignment="1">
      <alignment horizontal="center" vertical="center" wrapText="1" readingOrder="1"/>
    </xf>
    <xf numFmtId="0" fontId="1" fillId="3" borderId="14" xfId="0" quotePrefix="1" applyFont="1" applyFill="1" applyBorder="1" applyAlignment="1">
      <alignment horizontal="center" vertical="center" wrapText="1" readingOrder="1"/>
    </xf>
    <xf numFmtId="0" fontId="1" fillId="3" borderId="15" xfId="0" quotePrefix="1" applyFont="1" applyFill="1" applyBorder="1" applyAlignment="1">
      <alignment horizontal="center" vertical="center" wrapText="1" readingOrder="1"/>
    </xf>
    <xf numFmtId="3" fontId="1" fillId="3" borderId="10" xfId="0" quotePrefix="1" applyNumberFormat="1" applyFont="1" applyFill="1" applyBorder="1" applyAlignment="1">
      <alignment horizontal="center" vertical="center" wrapText="1" readingOrder="1"/>
    </xf>
    <xf numFmtId="3" fontId="1" fillId="3" borderId="11" xfId="0" quotePrefix="1" applyNumberFormat="1" applyFont="1" applyFill="1" applyBorder="1" applyAlignment="1">
      <alignment horizontal="center" vertical="center" wrapText="1" readingOrder="1"/>
    </xf>
    <xf numFmtId="3" fontId="1" fillId="3" borderId="12" xfId="0" quotePrefix="1" applyNumberFormat="1" applyFont="1" applyFill="1" applyBorder="1" applyAlignment="1">
      <alignment horizontal="center" vertical="center" wrapText="1" readingOrder="1"/>
    </xf>
    <xf numFmtId="0" fontId="5" fillId="3" borderId="7" xfId="0" quotePrefix="1" applyFont="1" applyFill="1" applyBorder="1" applyAlignment="1">
      <alignment horizontal="center" vertical="center" wrapText="1" readingOrder="1"/>
    </xf>
    <xf numFmtId="0" fontId="5" fillId="3" borderId="8" xfId="0" quotePrefix="1" applyFont="1" applyFill="1" applyBorder="1" applyAlignment="1">
      <alignment horizontal="center" vertical="center" wrapText="1" readingOrder="1"/>
    </xf>
    <xf numFmtId="0" fontId="5" fillId="3" borderId="9" xfId="0" quotePrefix="1" applyFont="1" applyFill="1" applyBorder="1" applyAlignment="1">
      <alignment horizontal="center" vertical="center" wrapText="1" readingOrder="1"/>
    </xf>
    <xf numFmtId="0" fontId="1" fillId="3" borderId="10" xfId="0" quotePrefix="1" applyFont="1" applyFill="1" applyBorder="1" applyAlignment="1">
      <alignment horizontal="left" vertical="center" wrapText="1" readingOrder="1"/>
    </xf>
    <xf numFmtId="0" fontId="1" fillId="3" borderId="11" xfId="0" quotePrefix="1" applyFont="1" applyFill="1" applyBorder="1" applyAlignment="1">
      <alignment horizontal="left" vertical="center" wrapText="1" readingOrder="1"/>
    </xf>
    <xf numFmtId="0" fontId="1" fillId="3" borderId="12" xfId="0" quotePrefix="1" applyFont="1" applyFill="1" applyBorder="1" applyAlignment="1">
      <alignment horizontal="left" vertical="center" wrapText="1" readingOrder="1"/>
    </xf>
    <xf numFmtId="0" fontId="1" fillId="3" borderId="7" xfId="0" quotePrefix="1" applyFont="1" applyFill="1" applyBorder="1" applyAlignment="1">
      <alignment horizontal="center" vertical="center" wrapText="1" readingOrder="1"/>
    </xf>
    <xf numFmtId="0" fontId="1" fillId="3" borderId="8" xfId="0" quotePrefix="1" applyFont="1" applyFill="1" applyBorder="1" applyAlignment="1">
      <alignment horizontal="center" vertical="center" wrapText="1" readingOrder="1"/>
    </xf>
    <xf numFmtId="0" fontId="1" fillId="3" borderId="9" xfId="0" quotePrefix="1" applyFont="1" applyFill="1" applyBorder="1" applyAlignment="1">
      <alignment horizontal="center" vertical="center" wrapText="1" readingOrder="1"/>
    </xf>
    <xf numFmtId="3" fontId="1" fillId="3" borderId="7" xfId="0" quotePrefix="1" applyNumberFormat="1" applyFont="1" applyFill="1" applyBorder="1" applyAlignment="1">
      <alignment horizontal="left" vertical="top" wrapText="1" readingOrder="1"/>
    </xf>
    <xf numFmtId="3" fontId="1" fillId="3" borderId="8" xfId="0" quotePrefix="1" applyNumberFormat="1" applyFont="1" applyFill="1" applyBorder="1" applyAlignment="1">
      <alignment horizontal="left" vertical="top" wrapText="1" readingOrder="1"/>
    </xf>
    <xf numFmtId="3" fontId="1" fillId="3" borderId="9" xfId="0" quotePrefix="1" applyNumberFormat="1" applyFont="1" applyFill="1" applyBorder="1" applyAlignment="1">
      <alignment horizontal="left" vertical="top" wrapText="1" readingOrder="1"/>
    </xf>
    <xf numFmtId="0" fontId="1" fillId="3" borderId="4" xfId="0" quotePrefix="1" applyFont="1" applyFill="1" applyBorder="1" applyAlignment="1">
      <alignment horizontal="left" vertical="center" wrapText="1" readingOrder="1"/>
    </xf>
    <xf numFmtId="0" fontId="1" fillId="3" borderId="6" xfId="0" quotePrefix="1" applyFont="1" applyFill="1" applyBorder="1" applyAlignment="1">
      <alignment horizontal="left" vertical="center" wrapText="1" readingOrder="1"/>
    </xf>
    <xf numFmtId="0" fontId="1" fillId="3" borderId="5" xfId="0" quotePrefix="1" applyFont="1" applyFill="1" applyBorder="1" applyAlignment="1">
      <alignment horizontal="left" vertical="center" wrapText="1" readingOrder="1"/>
    </xf>
    <xf numFmtId="0" fontId="7" fillId="3" borderId="10" xfId="0" quotePrefix="1" applyFont="1" applyFill="1" applyBorder="1" applyAlignment="1">
      <alignment horizontal="center" vertical="center" wrapText="1" readingOrder="1"/>
    </xf>
    <xf numFmtId="0" fontId="7" fillId="3" borderId="11" xfId="0" quotePrefix="1" applyFont="1" applyFill="1" applyBorder="1" applyAlignment="1">
      <alignment horizontal="center" vertical="center" wrapText="1" readingOrder="1"/>
    </xf>
    <xf numFmtId="0" fontId="7" fillId="3" borderId="12" xfId="0" quotePrefix="1" applyFont="1" applyFill="1" applyBorder="1" applyAlignment="1">
      <alignment horizontal="center" vertical="center" wrapText="1" readingOrder="1"/>
    </xf>
  </cellXfs>
  <cellStyles count="2">
    <cellStyle name="Good" xfId="1" builtinId="26"/>
    <cellStyle name="Normal" xfId="0" builtinId="0"/>
  </cellStyles>
  <dxfs count="4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ustomProperty" Target="../customProperty2.bin"/><Relationship Id="rId2" Type="http://schemas.openxmlformats.org/officeDocument/2006/relationships/customProperty" Target="../customProperty1.bin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3B1669-4D19-42D8-86BB-E55FDF20445A}">
  <dimension ref="A1:Z30"/>
  <sheetViews>
    <sheetView tabSelected="1" zoomScale="85" zoomScaleNormal="85" workbookViewId="0">
      <selection activeCell="Q5" sqref="A1:Q7"/>
    </sheetView>
  </sheetViews>
  <sheetFormatPr defaultColWidth="9.109375" defaultRowHeight="14.4" x14ac:dyDescent="0.3"/>
  <cols>
    <col min="1" max="3" width="8.88671875" style="4"/>
    <col min="4" max="4" width="13.109375" style="4" customWidth="1"/>
    <col min="5" max="5" width="11.5546875" style="4" customWidth="1"/>
    <col min="6" max="6" width="11.109375" style="4" customWidth="1"/>
    <col min="7" max="7" width="20.6640625" style="4" customWidth="1"/>
    <col min="8" max="8" width="10.88671875" style="4" customWidth="1"/>
    <col min="9" max="9" width="13.88671875" style="4" customWidth="1"/>
    <col min="10" max="10" width="14.44140625" style="4" customWidth="1"/>
    <col min="11" max="11" width="10.109375" style="4" customWidth="1"/>
    <col min="12" max="12" width="9.109375" style="4"/>
    <col min="13" max="13" width="12" style="4" customWidth="1"/>
    <col min="14" max="14" width="11.33203125" style="4" customWidth="1"/>
    <col min="15" max="15" width="23.109375" style="4" customWidth="1"/>
    <col min="16" max="16" width="17.109375" style="4" customWidth="1"/>
    <col min="17" max="17" width="30.44140625" style="4" customWidth="1"/>
    <col min="18" max="18" width="12.44140625" style="4" customWidth="1"/>
    <col min="19" max="19" width="13.109375" style="4" customWidth="1"/>
    <col min="20" max="22" width="10.88671875" style="4" customWidth="1"/>
    <col min="23" max="23" width="12.109375" style="4" bestFit="1" customWidth="1"/>
    <col min="24" max="26" width="10.88671875" style="4" customWidth="1"/>
  </cols>
  <sheetData>
    <row r="1" spans="1:26" s="1" customFormat="1" ht="42.6" customHeight="1" thickBot="1" x14ac:dyDescent="0.35">
      <c r="A1" s="2" t="s">
        <v>0</v>
      </c>
      <c r="B1" s="2" t="s">
        <v>1</v>
      </c>
      <c r="C1" s="2" t="s">
        <v>2</v>
      </c>
      <c r="D1" s="2" t="s">
        <v>4</v>
      </c>
      <c r="E1" s="2" t="s">
        <v>5</v>
      </c>
      <c r="F1" s="2" t="s">
        <v>15</v>
      </c>
      <c r="G1" s="2" t="s">
        <v>9</v>
      </c>
      <c r="H1" s="2" t="s">
        <v>13</v>
      </c>
      <c r="I1" s="2" t="s">
        <v>10</v>
      </c>
      <c r="J1" s="2" t="s">
        <v>11</v>
      </c>
      <c r="K1" s="2" t="s">
        <v>6</v>
      </c>
      <c r="L1" s="2" t="s">
        <v>7</v>
      </c>
      <c r="M1" s="2" t="s">
        <v>8</v>
      </c>
      <c r="N1" s="2" t="s">
        <v>3</v>
      </c>
      <c r="O1" s="2" t="s">
        <v>25</v>
      </c>
      <c r="P1" s="2" t="s">
        <v>12</v>
      </c>
      <c r="Q1" s="2" t="s">
        <v>14</v>
      </c>
      <c r="R1" s="7" t="s">
        <v>16</v>
      </c>
      <c r="S1" s="7" t="s">
        <v>17</v>
      </c>
      <c r="T1" s="8" t="s">
        <v>18</v>
      </c>
      <c r="U1" s="8" t="s">
        <v>19</v>
      </c>
      <c r="V1" s="8" t="s">
        <v>22</v>
      </c>
      <c r="W1" s="8" t="s">
        <v>20</v>
      </c>
      <c r="X1" s="7" t="s">
        <v>23</v>
      </c>
      <c r="Y1" s="7" t="s">
        <v>21</v>
      </c>
      <c r="Z1" s="7" t="s">
        <v>24</v>
      </c>
    </row>
    <row r="2" spans="1:26" s="1" customFormat="1" ht="43.95" customHeight="1" thickBot="1" x14ac:dyDescent="0.35">
      <c r="A2" s="6">
        <v>1</v>
      </c>
      <c r="B2" s="6" t="s">
        <v>51</v>
      </c>
      <c r="C2" s="6" t="s">
        <v>52</v>
      </c>
      <c r="D2" s="6" t="s">
        <v>75</v>
      </c>
      <c r="E2" s="9" t="s">
        <v>53</v>
      </c>
      <c r="F2" s="9" t="s">
        <v>54</v>
      </c>
      <c r="G2" s="14">
        <v>110000031925</v>
      </c>
      <c r="H2" s="6" t="s">
        <v>56</v>
      </c>
      <c r="I2" s="6" t="s">
        <v>64</v>
      </c>
      <c r="J2" s="6" t="s">
        <v>57</v>
      </c>
      <c r="K2" s="9" t="s">
        <v>58</v>
      </c>
      <c r="L2" s="9" t="s">
        <v>59</v>
      </c>
      <c r="M2" s="6" t="s">
        <v>65</v>
      </c>
      <c r="N2" s="6" t="s">
        <v>66</v>
      </c>
      <c r="O2" s="12" t="s">
        <v>62</v>
      </c>
      <c r="P2" s="13" t="s">
        <v>81</v>
      </c>
      <c r="Q2" s="11"/>
      <c r="R2" s="9" t="s">
        <v>67</v>
      </c>
      <c r="S2" s="6" t="s">
        <v>63</v>
      </c>
      <c r="T2" s="9">
        <v>135600</v>
      </c>
      <c r="U2" s="9">
        <v>813600</v>
      </c>
      <c r="V2" s="5">
        <f>(12.5-13)*T2/8.3</f>
        <v>-8168.6746987951801</v>
      </c>
      <c r="W2" s="5">
        <f>(12.5-13)*U2/8.3</f>
        <v>-49012.048192771079</v>
      </c>
      <c r="X2" s="9" t="s">
        <v>76</v>
      </c>
      <c r="Y2" s="6" t="s">
        <v>77</v>
      </c>
      <c r="Z2" s="10">
        <f>(35917-60000)/8.3</f>
        <v>-2901.5662650602408</v>
      </c>
    </row>
    <row r="3" spans="1:26" s="1" customFormat="1" ht="43.95" customHeight="1" thickBot="1" x14ac:dyDescent="0.35">
      <c r="A3" s="6">
        <v>2</v>
      </c>
      <c r="B3" s="6" t="s">
        <v>51</v>
      </c>
      <c r="C3" s="6" t="s">
        <v>52</v>
      </c>
      <c r="D3" s="6" t="s">
        <v>68</v>
      </c>
      <c r="E3" s="9" t="s">
        <v>53</v>
      </c>
      <c r="F3" s="9" t="s">
        <v>54</v>
      </c>
      <c r="G3" s="14">
        <v>110000030045</v>
      </c>
      <c r="H3" s="6" t="s">
        <v>56</v>
      </c>
      <c r="I3" s="6" t="s">
        <v>69</v>
      </c>
      <c r="J3" s="6" t="s">
        <v>57</v>
      </c>
      <c r="K3" s="9" t="s">
        <v>58</v>
      </c>
      <c r="L3" s="9" t="s">
        <v>59</v>
      </c>
      <c r="M3" s="6" t="s">
        <v>71</v>
      </c>
      <c r="N3" s="6" t="s">
        <v>72</v>
      </c>
      <c r="O3" s="12" t="s">
        <v>62</v>
      </c>
      <c r="P3" s="13" t="s">
        <v>81</v>
      </c>
      <c r="Q3" s="11"/>
      <c r="R3" s="18" t="s">
        <v>70</v>
      </c>
      <c r="S3" s="18" t="s">
        <v>63</v>
      </c>
      <c r="T3" s="9">
        <v>125440</v>
      </c>
      <c r="U3" s="9">
        <v>627200</v>
      </c>
      <c r="V3" s="5">
        <f>(12.5-12.99)*T3/8.3</f>
        <v>-7405.493975903617</v>
      </c>
      <c r="W3" s="5">
        <f>(12.5-12.99)*U3/8.3</f>
        <v>-37027.469879518081</v>
      </c>
      <c r="X3" s="9" t="s">
        <v>79</v>
      </c>
      <c r="Y3" s="6" t="s">
        <v>78</v>
      </c>
      <c r="Z3" s="10">
        <f>(19720-50000)/8.3</f>
        <v>-3648.192771084337</v>
      </c>
    </row>
    <row r="4" spans="1:26" s="1" customFormat="1" ht="43.95" customHeight="1" thickBot="1" x14ac:dyDescent="0.35">
      <c r="A4" s="6">
        <v>3</v>
      </c>
      <c r="B4" s="6" t="s">
        <v>51</v>
      </c>
      <c r="C4" s="6" t="s">
        <v>52</v>
      </c>
      <c r="D4" s="6" t="s">
        <v>74</v>
      </c>
      <c r="E4" s="9" t="s">
        <v>53</v>
      </c>
      <c r="F4" s="9" t="s">
        <v>54</v>
      </c>
      <c r="G4" s="14" t="s">
        <v>55</v>
      </c>
      <c r="H4" s="6" t="s">
        <v>56</v>
      </c>
      <c r="I4" s="6" t="s">
        <v>80</v>
      </c>
      <c r="J4" s="6" t="s">
        <v>57</v>
      </c>
      <c r="K4" s="9" t="s">
        <v>58</v>
      </c>
      <c r="L4" s="9" t="s">
        <v>59</v>
      </c>
      <c r="M4" s="6" t="s">
        <v>60</v>
      </c>
      <c r="N4" s="6" t="s">
        <v>61</v>
      </c>
      <c r="O4" s="12" t="s">
        <v>62</v>
      </c>
      <c r="P4" s="13" t="s">
        <v>81</v>
      </c>
      <c r="Q4" s="11"/>
      <c r="R4" s="9" t="s">
        <v>63</v>
      </c>
      <c r="S4" s="6" t="s">
        <v>63</v>
      </c>
      <c r="T4" s="9">
        <v>121667</v>
      </c>
      <c r="U4" s="9">
        <v>730000</v>
      </c>
      <c r="V4" s="5">
        <f>(12.5-12.5)*T4/8.3</f>
        <v>0</v>
      </c>
      <c r="W4" s="5">
        <f>(12.5-12.5)*U4/8.3</f>
        <v>0</v>
      </c>
      <c r="X4" s="17" t="s">
        <v>73</v>
      </c>
      <c r="Y4" s="17" t="s">
        <v>73</v>
      </c>
      <c r="Z4" s="10">
        <f>48290-48290</f>
        <v>0</v>
      </c>
    </row>
    <row r="5" spans="1:26" s="1" customFormat="1" ht="31.2" thickBot="1" x14ac:dyDescent="0.35">
      <c r="A5" s="19">
        <v>4</v>
      </c>
      <c r="B5" s="6" t="s">
        <v>27</v>
      </c>
      <c r="C5" s="6" t="s">
        <v>50</v>
      </c>
      <c r="D5" s="6" t="s">
        <v>34</v>
      </c>
      <c r="E5" s="9" t="s">
        <v>28</v>
      </c>
      <c r="F5" s="9" t="s">
        <v>29</v>
      </c>
      <c r="G5" s="14" t="s">
        <v>30</v>
      </c>
      <c r="H5" s="6" t="s">
        <v>31</v>
      </c>
      <c r="I5" s="6" t="s">
        <v>32</v>
      </c>
      <c r="J5" s="25" t="s">
        <v>42</v>
      </c>
      <c r="K5" s="22" t="s">
        <v>33</v>
      </c>
      <c r="L5" s="28" t="s">
        <v>26</v>
      </c>
      <c r="M5" s="37" t="s">
        <v>43</v>
      </c>
      <c r="N5" s="37" t="s">
        <v>41</v>
      </c>
      <c r="O5" s="43" t="s">
        <v>83</v>
      </c>
      <c r="P5" s="46" t="s">
        <v>82</v>
      </c>
      <c r="Q5" s="40" t="s">
        <v>84</v>
      </c>
      <c r="R5" s="9"/>
      <c r="S5" s="6"/>
      <c r="T5" s="9" t="s">
        <v>45</v>
      </c>
      <c r="U5" s="9" t="s">
        <v>44</v>
      </c>
      <c r="V5" s="5"/>
      <c r="W5" s="5"/>
      <c r="X5" s="9">
        <v>0</v>
      </c>
      <c r="Y5" s="6"/>
      <c r="Z5" s="10">
        <f t="shared" ref="Z5" si="0">Y5-X5</f>
        <v>0</v>
      </c>
    </row>
    <row r="6" spans="1:26" s="1" customFormat="1" ht="41.4" thickBot="1" x14ac:dyDescent="0.35">
      <c r="A6" s="20"/>
      <c r="B6" s="6" t="s">
        <v>27</v>
      </c>
      <c r="C6" s="6" t="s">
        <v>50</v>
      </c>
      <c r="D6" s="6" t="s">
        <v>40</v>
      </c>
      <c r="E6" s="9" t="s">
        <v>28</v>
      </c>
      <c r="F6" s="9" t="s">
        <v>29</v>
      </c>
      <c r="G6" s="14" t="s">
        <v>35</v>
      </c>
      <c r="H6" s="6" t="s">
        <v>37</v>
      </c>
      <c r="I6" s="6" t="s">
        <v>36</v>
      </c>
      <c r="J6" s="26"/>
      <c r="K6" s="23"/>
      <c r="L6" s="29"/>
      <c r="M6" s="38"/>
      <c r="N6" s="38"/>
      <c r="O6" s="44"/>
      <c r="P6" s="47"/>
      <c r="Q6" s="41"/>
      <c r="R6" s="9"/>
      <c r="S6" s="6"/>
      <c r="T6" s="9" t="s">
        <v>47</v>
      </c>
      <c r="U6" s="9" t="s">
        <v>46</v>
      </c>
      <c r="V6" s="5"/>
      <c r="W6" s="5"/>
      <c r="X6" s="9">
        <v>0</v>
      </c>
      <c r="Y6" s="6"/>
      <c r="Z6" s="10"/>
    </row>
    <row r="7" spans="1:26" s="1" customFormat="1" ht="117" customHeight="1" thickBot="1" x14ac:dyDescent="0.35">
      <c r="A7" s="21"/>
      <c r="B7" s="6" t="s">
        <v>27</v>
      </c>
      <c r="C7" s="6" t="s">
        <v>50</v>
      </c>
      <c r="D7" s="6" t="s">
        <v>39</v>
      </c>
      <c r="E7" s="9" t="s">
        <v>28</v>
      </c>
      <c r="F7" s="9" t="s">
        <v>29</v>
      </c>
      <c r="G7" s="14" t="s">
        <v>38</v>
      </c>
      <c r="H7" s="6" t="s">
        <v>31</v>
      </c>
      <c r="I7" s="6" t="s">
        <v>32</v>
      </c>
      <c r="J7" s="27"/>
      <c r="K7" s="24"/>
      <c r="L7" s="30"/>
      <c r="M7" s="39"/>
      <c r="N7" s="39"/>
      <c r="O7" s="45"/>
      <c r="P7" s="48"/>
      <c r="Q7" s="42"/>
      <c r="R7" s="9"/>
      <c r="S7" s="6"/>
      <c r="T7" s="9" t="s">
        <v>49</v>
      </c>
      <c r="U7" s="9" t="s">
        <v>48</v>
      </c>
      <c r="V7" s="5"/>
      <c r="W7" s="5"/>
      <c r="X7" s="9">
        <v>0</v>
      </c>
      <c r="Y7" s="6"/>
      <c r="Z7" s="10"/>
    </row>
    <row r="8" spans="1:26" s="1" customFormat="1" ht="43.95" customHeight="1" thickBot="1" x14ac:dyDescent="0.35">
      <c r="A8" s="6"/>
      <c r="B8" s="6"/>
      <c r="C8" s="6"/>
      <c r="D8" s="6"/>
      <c r="E8" s="9"/>
      <c r="F8" s="9"/>
      <c r="G8" s="14"/>
      <c r="H8" s="6"/>
      <c r="I8" s="6"/>
      <c r="J8" s="6"/>
      <c r="K8" s="9"/>
      <c r="L8" s="9"/>
      <c r="M8" s="6"/>
      <c r="N8" s="6"/>
      <c r="O8" s="12"/>
      <c r="P8" s="13"/>
      <c r="Q8" s="11"/>
      <c r="R8" s="9"/>
      <c r="S8" s="9"/>
      <c r="T8" s="9"/>
      <c r="U8" s="9"/>
      <c r="V8" s="5"/>
      <c r="W8" s="5"/>
      <c r="X8" s="9"/>
      <c r="Y8" s="6"/>
      <c r="Z8" s="10"/>
    </row>
    <row r="9" spans="1:26" s="1" customFormat="1" ht="43.95" customHeight="1" thickBot="1" x14ac:dyDescent="0.35">
      <c r="A9" s="6"/>
      <c r="B9" s="6"/>
      <c r="C9" s="6"/>
      <c r="D9" s="6"/>
      <c r="E9" s="9"/>
      <c r="F9" s="9"/>
      <c r="G9" s="14"/>
      <c r="H9" s="6"/>
      <c r="I9" s="6"/>
      <c r="J9" s="6"/>
      <c r="K9" s="9"/>
      <c r="L9" s="9"/>
      <c r="M9" s="6"/>
      <c r="N9" s="6"/>
      <c r="O9" s="12"/>
      <c r="P9" s="13"/>
      <c r="Q9" s="11"/>
      <c r="R9" s="9"/>
      <c r="S9" s="6"/>
      <c r="T9" s="9"/>
      <c r="U9" s="9"/>
      <c r="V9" s="5"/>
      <c r="W9" s="5"/>
      <c r="X9" s="9"/>
      <c r="Y9" s="6"/>
      <c r="Z9" s="10"/>
    </row>
    <row r="10" spans="1:26" s="1" customFormat="1" ht="43.95" customHeight="1" thickBot="1" x14ac:dyDescent="0.35">
      <c r="A10" s="19"/>
      <c r="B10" s="6"/>
      <c r="C10" s="6"/>
      <c r="D10" s="6"/>
      <c r="E10" s="9"/>
      <c r="F10" s="9"/>
      <c r="G10" s="6"/>
      <c r="H10" s="6"/>
      <c r="I10" s="6"/>
      <c r="J10" s="6"/>
      <c r="K10" s="9"/>
      <c r="L10" s="22"/>
      <c r="M10" s="19"/>
      <c r="N10" s="19"/>
      <c r="O10" s="34"/>
      <c r="P10" s="31"/>
      <c r="Q10" s="11"/>
      <c r="R10" s="9"/>
      <c r="S10" s="6"/>
      <c r="T10" s="9"/>
      <c r="U10" s="9"/>
      <c r="V10" s="5"/>
      <c r="W10" s="5"/>
      <c r="X10" s="9"/>
      <c r="Y10" s="6"/>
      <c r="Z10" s="10"/>
    </row>
    <row r="11" spans="1:26" s="1" customFormat="1" ht="118.35" customHeight="1" thickBot="1" x14ac:dyDescent="0.35">
      <c r="A11" s="20"/>
      <c r="B11" s="6"/>
      <c r="C11" s="6"/>
      <c r="D11" s="6"/>
      <c r="E11" s="9"/>
      <c r="F11" s="9"/>
      <c r="G11" s="6"/>
      <c r="H11" s="6"/>
      <c r="I11" s="6"/>
      <c r="J11" s="6"/>
      <c r="K11" s="9"/>
      <c r="L11" s="23"/>
      <c r="M11" s="20"/>
      <c r="N11" s="20"/>
      <c r="O11" s="35"/>
      <c r="P11" s="32"/>
      <c r="Q11" s="11"/>
      <c r="R11" s="9"/>
      <c r="S11" s="9"/>
      <c r="T11" s="9"/>
      <c r="U11" s="9"/>
      <c r="V11" s="5"/>
      <c r="W11" s="5"/>
      <c r="X11" s="9"/>
      <c r="Y11" s="6"/>
      <c r="Z11" s="10"/>
    </row>
    <row r="12" spans="1:26" s="1" customFormat="1" ht="118.35" customHeight="1" thickBot="1" x14ac:dyDescent="0.35">
      <c r="A12" s="21"/>
      <c r="B12" s="6"/>
      <c r="C12" s="6"/>
      <c r="D12" s="6"/>
      <c r="E12" s="9"/>
      <c r="F12" s="9"/>
      <c r="G12" s="6"/>
      <c r="H12" s="6"/>
      <c r="I12" s="6"/>
      <c r="J12" s="6"/>
      <c r="K12" s="9"/>
      <c r="L12" s="24"/>
      <c r="M12" s="21"/>
      <c r="N12" s="21"/>
      <c r="O12" s="36"/>
      <c r="P12" s="33"/>
      <c r="Q12" s="11"/>
      <c r="R12" s="9"/>
      <c r="S12" s="9"/>
      <c r="T12" s="9"/>
      <c r="U12" s="9"/>
      <c r="V12" s="5"/>
      <c r="W12" s="5"/>
      <c r="X12" s="9"/>
      <c r="Y12" s="6"/>
      <c r="Z12" s="10"/>
    </row>
    <row r="13" spans="1:26" s="1" customFormat="1" ht="118.35" customHeight="1" thickBot="1" x14ac:dyDescent="0.35">
      <c r="A13" s="6"/>
      <c r="B13" s="6"/>
      <c r="C13" s="6"/>
      <c r="D13" s="6"/>
      <c r="E13" s="9"/>
      <c r="F13" s="9"/>
      <c r="G13" s="14"/>
      <c r="H13" s="6"/>
      <c r="I13" s="6"/>
      <c r="J13" s="6"/>
      <c r="K13" s="9"/>
      <c r="L13" s="9"/>
      <c r="M13" s="9"/>
      <c r="N13" s="9"/>
      <c r="O13" s="12"/>
      <c r="P13" s="16"/>
      <c r="Q13" s="11"/>
      <c r="R13" s="9"/>
      <c r="S13" s="6"/>
      <c r="T13" s="9"/>
      <c r="U13" s="9"/>
      <c r="V13" s="5"/>
      <c r="W13" s="5"/>
      <c r="X13" s="9"/>
      <c r="Y13" s="6"/>
      <c r="Z13" s="10"/>
    </row>
    <row r="14" spans="1:26" s="1" customFormat="1" ht="118.35" customHeight="1" thickBot="1" x14ac:dyDescent="0.35">
      <c r="A14" s="15"/>
      <c r="B14" s="6"/>
      <c r="C14" s="6"/>
      <c r="D14" s="6"/>
      <c r="E14" s="9"/>
      <c r="F14" s="9"/>
      <c r="G14" s="14"/>
      <c r="H14" s="6"/>
      <c r="I14" s="6"/>
      <c r="J14" s="6"/>
      <c r="K14" s="9"/>
      <c r="L14" s="9"/>
      <c r="M14" s="9"/>
      <c r="N14" s="9"/>
      <c r="O14" s="12"/>
      <c r="P14" s="16"/>
      <c r="Q14" s="11"/>
      <c r="R14" s="9"/>
      <c r="S14" s="6"/>
      <c r="T14" s="9"/>
      <c r="U14" s="9"/>
      <c r="V14" s="5"/>
      <c r="W14" s="5"/>
      <c r="X14" s="9"/>
      <c r="Y14" s="6"/>
      <c r="Z14" s="10"/>
    </row>
    <row r="15" spans="1:26" s="1" customFormat="1" ht="42.6" customHeight="1" x14ac:dyDescent="0.3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s="1" customFormat="1" ht="42.6" customHeight="1" x14ac:dyDescent="0.3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s="1" customFormat="1" ht="42.6" customHeight="1" x14ac:dyDescent="0.3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s="1" customFormat="1" ht="42.6" customHeight="1" x14ac:dyDescent="0.3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s="1" customFormat="1" ht="42.6" customHeight="1" x14ac:dyDescent="0.3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s="1" customFormat="1" ht="42.6" customHeight="1" x14ac:dyDescent="0.3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s="1" customFormat="1" ht="42.6" customHeight="1" x14ac:dyDescent="0.3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s="1" customFormat="1" ht="42.6" customHeight="1" x14ac:dyDescent="0.3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s="1" customFormat="1" ht="42.6" customHeight="1" x14ac:dyDescent="0.3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s="1" customFormat="1" ht="42.6" customHeight="1" x14ac:dyDescent="0.3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s="1" customFormat="1" ht="42.6" customHeight="1" x14ac:dyDescent="0.3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s="1" customFormat="1" ht="42.6" customHeight="1" x14ac:dyDescent="0.3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s="1" customFormat="1" ht="42.6" customHeight="1" x14ac:dyDescent="0.3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s="1" customFormat="1" ht="42.6" customHeight="1" x14ac:dyDescent="0.3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s="1" customFormat="1" ht="42.6" customHeight="1" x14ac:dyDescent="0.3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s="1" customFormat="1" ht="42.6" customHeight="1" x14ac:dyDescent="0.3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</sheetData>
  <mergeCells count="15">
    <mergeCell ref="Q5:Q7"/>
    <mergeCell ref="O5:O7"/>
    <mergeCell ref="P5:P7"/>
    <mergeCell ref="N10:N12"/>
    <mergeCell ref="P10:P12"/>
    <mergeCell ref="O10:O12"/>
    <mergeCell ref="M5:M7"/>
    <mergeCell ref="N5:N7"/>
    <mergeCell ref="A5:A7"/>
    <mergeCell ref="K5:K7"/>
    <mergeCell ref="A10:A12"/>
    <mergeCell ref="L10:L12"/>
    <mergeCell ref="M10:M12"/>
    <mergeCell ref="J5:J7"/>
    <mergeCell ref="L5:L7"/>
  </mergeCells>
  <phoneticPr fontId="6" type="noConversion"/>
  <conditionalFormatting sqref="V1 Z1:Z1048576 V15:V1048576">
    <cfRule type="cellIs" dxfId="3" priority="69" operator="lessThan">
      <formula>0</formula>
    </cfRule>
  </conditionalFormatting>
  <conditionalFormatting sqref="V2:W14">
    <cfRule type="cellIs" dxfId="2" priority="2" operator="greaterThan">
      <formula>0</formula>
    </cfRule>
    <cfRule type="cellIs" dxfId="1" priority="3" operator="lessThan">
      <formula>0</formula>
    </cfRule>
  </conditionalFormatting>
  <conditionalFormatting sqref="Z2:Z14">
    <cfRule type="cellIs" dxfId="0" priority="4" operator="greaterThan">
      <formula>0</formula>
    </cfRule>
  </conditionalFormatting>
  <pageMargins left="0.7" right="0.7" top="0.75" bottom="0.75" header="0.3" footer="0.3"/>
  <pageSetup orientation="portrait" r:id="rId1"/>
  <customProperties>
    <customPr name="_pios_id" r:id="rId2"/>
    <customPr name="IbpWorksheetKeyString_GUID" r:id="rId3"/>
  </customPropertie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D2AE94798D0E7D4487CB84FC9A87565D" ma:contentTypeVersion="10" ma:contentTypeDescription="Ein neues Dokument erstellen." ma:contentTypeScope="" ma:versionID="728a42373757fe19dbf32cb01accea12">
  <xsd:schema xmlns:xsd="http://www.w3.org/2001/XMLSchema" xmlns:xs="http://www.w3.org/2001/XMLSchema" xmlns:p="http://schemas.microsoft.com/office/2006/metadata/properties" xmlns:ns2="c58f02bd-e0b7-474b-a2bc-9a19f162f3a8" xmlns:ns3="b7d00205-0ffb-4bc2-b18e-b800942d8fea" targetNamespace="http://schemas.microsoft.com/office/2006/metadata/properties" ma:root="true" ma:fieldsID="86d1219d07439347edf1a7dd06578600" ns2:_="" ns3:_="">
    <xsd:import namespace="c58f02bd-e0b7-474b-a2bc-9a19f162f3a8"/>
    <xsd:import namespace="b7d00205-0ffb-4bc2-b18e-b800942d8fe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58f02bd-e0b7-474b-a2bc-9a19f162f3a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Bildmarkierungen" ma:readOnly="false" ma:fieldId="{5cf76f15-5ced-4ddc-b409-7134ff3c332f}" ma:taxonomyMulti="true" ma:sspId="42c1abb6-7528-48c8-bade-a0efe805682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7d00205-0ffb-4bc2-b18e-b800942d8fea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d0f941d5-66b0-4dcf-b0f6-17179381c1ce}" ma:internalName="TaxCatchAll" ma:showField="CatchAllData" ma:web="b7d00205-0ffb-4bc2-b18e-b800942d8f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b7d00205-0ffb-4bc2-b18e-b800942d8fea" xsi:nil="true"/>
    <lcf76f155ced4ddcb4097134ff3c332f xmlns="c58f02bd-e0b7-474b-a2bc-9a19f162f3a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C05C378-B8D4-41F3-8A2F-51047CF1A918}"/>
</file>

<file path=customXml/itemProps2.xml><?xml version="1.0" encoding="utf-8"?>
<ds:datastoreItem xmlns:ds="http://schemas.openxmlformats.org/officeDocument/2006/customXml" ds:itemID="{8C237A50-3391-459B-9A6F-844CDAC6BE87}"/>
</file>

<file path=customXml/itemProps3.xml><?xml version="1.0" encoding="utf-8"?>
<ds:datastoreItem xmlns:ds="http://schemas.openxmlformats.org/officeDocument/2006/customXml" ds:itemID="{2ED45C28-BF06-4A00-9B39-0732587CDF01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KW12, 2026</vt:lpstr>
    </vt:vector>
  </TitlesOfParts>
  <Company>RVNA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Xiangwei Chen ALF RPSBE1</dc:creator>
  <cp:lastModifiedBy>Xiangwei Chen ALF RPSBE1</cp:lastModifiedBy>
  <cp:lastPrinted>2025-09-03T13:26:17Z</cp:lastPrinted>
  <dcterms:created xsi:type="dcterms:W3CDTF">2025-09-02T13:26:50Z</dcterms:created>
  <dcterms:modified xsi:type="dcterms:W3CDTF">2026-03-18T14:56:56Z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b557171-d5a2-4c27-b720-d0ccc7e87f50_Enabled">
    <vt:lpwstr>true</vt:lpwstr>
  </property>
  <property fmtid="{D5CDD505-2E9C-101B-9397-08002B2CF9AE}" pid="3" name="MSIP_Label_1b557171-d5a2-4c27-b720-d0ccc7e87f50_SetDate">
    <vt:lpwstr>2025-09-02T13:33:29Z</vt:lpwstr>
  </property>
  <property fmtid="{D5CDD505-2E9C-101B-9397-08002B2CF9AE}" pid="4" name="MSIP_Label_1b557171-d5a2-4c27-b720-d0ccc7e87f50_Method">
    <vt:lpwstr>Privileged</vt:lpwstr>
  </property>
  <property fmtid="{D5CDD505-2E9C-101B-9397-08002B2CF9AE}" pid="5" name="MSIP_Label_1b557171-d5a2-4c27-b720-d0ccc7e87f50_Name">
    <vt:lpwstr>RVNA Confidential Sub_2</vt:lpwstr>
  </property>
  <property fmtid="{D5CDD505-2E9C-101B-9397-08002B2CF9AE}" pid="6" name="MSIP_Label_1b557171-d5a2-4c27-b720-d0ccc7e87f50_SiteId">
    <vt:lpwstr>87f9dc52-94b9-4266-8431-8be91e1f699c</vt:lpwstr>
  </property>
  <property fmtid="{D5CDD505-2E9C-101B-9397-08002B2CF9AE}" pid="7" name="MSIP_Label_1b557171-d5a2-4c27-b720-d0ccc7e87f50_ActionId">
    <vt:lpwstr>9560bc8f-fcd9-47ac-b9f2-f7340a6dea54</vt:lpwstr>
  </property>
  <property fmtid="{D5CDD505-2E9C-101B-9397-08002B2CF9AE}" pid="8" name="MSIP_Label_1b557171-d5a2-4c27-b720-d0ccc7e87f50_ContentBits">
    <vt:lpwstr>1</vt:lpwstr>
  </property>
  <property fmtid="{D5CDD505-2E9C-101B-9397-08002B2CF9AE}" pid="9" name="IbpWorkbookKeyString_GUID">
    <vt:lpwstr>38fc2b40-ce9d-4aa7-a82c-e708adc4547a</vt:lpwstr>
  </property>
  <property fmtid="{D5CDD505-2E9C-101B-9397-08002B2CF9AE}" pid="10" name="ContentTypeId">
    <vt:lpwstr>0x010100D2AE94798D0E7D4487CB84FC9A87565D</vt:lpwstr>
  </property>
</Properties>
</file>