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ssivesafety-my.sharepoint.com/personal/xiangwei_chen_zf-lifetec_com/Documents/Program Purchasing RB/01. Sourcing/2026/Sourcing Alignment meeting/KW25, 17.06.2026/"/>
    </mc:Choice>
  </mc:AlternateContent>
  <xr:revisionPtr revIDLastSave="0" documentId="8_{2B411155-FF1E-4B43-B18F-3C860E863E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25, 2026" sheetId="4" r:id="rId1"/>
  </sheets>
  <calcPr calcId="191029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4" l="1"/>
  <c r="V6" i="4"/>
  <c r="Z6" i="4"/>
  <c r="R5" i="4"/>
  <c r="V5" i="4" s="1"/>
  <c r="V4" i="4"/>
  <c r="W4" i="4"/>
  <c r="Z4" i="4"/>
  <c r="W5" i="4"/>
  <c r="Z5" i="4"/>
  <c r="V2" i="4"/>
  <c r="V3" i="4"/>
  <c r="W2" i="4" l="1"/>
  <c r="Z2" i="4"/>
  <c r="W3" i="4"/>
  <c r="Z3" i="4"/>
</calcChain>
</file>

<file path=xl/sharedStrings.xml><?xml version="1.0" encoding="utf-8"?>
<sst xmlns="http://schemas.openxmlformats.org/spreadsheetml/2006/main" count="73" uniqueCount="60">
  <si>
    <t>#</t>
  </si>
  <si>
    <t>Region</t>
  </si>
  <si>
    <t>Type</t>
  </si>
  <si>
    <t xml:space="preserve">LT Spend </t>
  </si>
  <si>
    <t>Project/ Product</t>
  </si>
  <si>
    <t>Commodity</t>
  </si>
  <si>
    <t>Presenter</t>
  </si>
  <si>
    <t>Decision Level</t>
  </si>
  <si>
    <t>Peak Year Spend</t>
  </si>
  <si>
    <t>SWAT ID / Bundle ID</t>
  </si>
  <si>
    <t>PN</t>
  </si>
  <si>
    <t>Recommended Supplier (s)</t>
  </si>
  <si>
    <t xml:space="preserve">Sourcing Decision </t>
  </si>
  <si>
    <t>Part Description</t>
  </si>
  <si>
    <t>Notes/Task/ Resp./ Due Date</t>
  </si>
  <si>
    <t>Parent PF Code</t>
  </si>
  <si>
    <t>CQA PC PRICE</t>
  </si>
  <si>
    <t>Rec. Supplier Landed</t>
  </si>
  <si>
    <t>Average Volume</t>
  </si>
  <si>
    <t>LT volume</t>
  </si>
  <si>
    <t>LT saving</t>
  </si>
  <si>
    <t xml:space="preserve">Rec. Supplier Tooling </t>
  </si>
  <si>
    <t>Average Year Saving vs CQA</t>
  </si>
  <si>
    <t>CQA Tooling</t>
  </si>
  <si>
    <t>Tooling Saving vs CQA</t>
  </si>
  <si>
    <t>Comment</t>
  </si>
  <si>
    <t>NA</t>
  </si>
  <si>
    <t>Daria Wągiel</t>
  </si>
  <si>
    <t>GCS</t>
  </si>
  <si>
    <t>Carry-over</t>
  </si>
  <si>
    <t>EU</t>
  </si>
  <si>
    <t>34185563B</t>
  </si>
  <si>
    <t>SPR 8 locking pawl</t>
  </si>
  <si>
    <t>FF</t>
  </si>
  <si>
    <t>LISI Automotive Former S.A.S</t>
  </si>
  <si>
    <t xml:space="preserve">B/2026/00171
110000035318 </t>
  </si>
  <si>
    <t>B/2026/00171
110000031407</t>
  </si>
  <si>
    <t>B/2026/00171
110000031543</t>
  </si>
  <si>
    <t>B/2026/00171
110000227792</t>
  </si>
  <si>
    <t>FF01018
Special Micro</t>
  </si>
  <si>
    <t>Carry Over</t>
  </si>
  <si>
    <t>CA</t>
  </si>
  <si>
    <t>SPOOL</t>
  </si>
  <si>
    <t>34159180C</t>
  </si>
  <si>
    <t>Getac VN</t>
  </si>
  <si>
    <t>Vanessa Prieto</t>
  </si>
  <si>
    <t>L3</t>
  </si>
  <si>
    <t>152K Euro
168k USD</t>
  </si>
  <si>
    <t>1.07 Mio Euro
1.17 Mio USD</t>
  </si>
  <si>
    <t>CA04003
High complexity parts</t>
  </si>
  <si>
    <t>0,45873 Euro/pc
0.5046 USD/pc</t>
  </si>
  <si>
    <t>0,45891 Euro/pc
0.5048 USD/pc</t>
  </si>
  <si>
    <t>Approved</t>
  </si>
  <si>
    <t>Approved with actions</t>
  </si>
  <si>
    <t>1. Aligned with family 8 team.
2. A case to bring cost down and to reduce SFS dependency.</t>
  </si>
  <si>
    <t>1. CO same supplier
2. Incremental volume from T1XX-2 SUV to Getac.
Volume based LTA in place, more volume will bring us more rebates.</t>
  </si>
  <si>
    <t>T1XX-2 SUV
SPR8</t>
  </si>
  <si>
    <t>Various
SPR8</t>
  </si>
  <si>
    <t>2027 BMW NCAR
SPR8</t>
  </si>
  <si>
    <t>1. Lisi prototype tool kicked off, samples arriving Alfdorf to be checked if can be treated as FOT. -- Engineering team Bernd
2. To check and follow up, when the tool can be ready for PPAP -- PP Alicia, Dorota, SDE Frank
3. To check if we can implement the change earlier, already Q4 2026 -- VAVE Michal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</si>
</sst>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.0000\ [$EUR]"/>
    <numFmt numFmtId="165" formatCode="#,##0\ &quot;€&quot;"/>
    <numFmt numFmtId="166" formatCode="#,##0\ [$€-407];\-#,##0\ [$€-407]"/>
    <numFmt numFmtId="167" formatCode="_-* #,##0\ &quot;€&quot;_-;\-* #,##0\ &quot;€&quot;_-;_-* &quot;-&quot;??\ &quot;€&quot;_-;_-@_-"/>
  </numFmts>
  <fonts count="7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FFFFFF"/>
      <name val="Arial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color rgb="FF006100"/>
      <name val="Arial"/>
      <family val="2"/>
    </font>
    <font>
      <b/>
      <sz val="8"/>
      <color theme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73E11"/>
        <bgColor indexed="64"/>
      </patternFill>
    </fill>
    <fill>
      <patternFill patternType="solid">
        <fgColor rgb="FFF6CE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</patternFill>
    </fill>
  </fills>
  <borders count="1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theme="0"/>
      </left>
      <right style="medium">
        <color rgb="FFFFFFFF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theme="0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theme="0"/>
      </bottom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rgb="FFFFFFFF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</borders>
  <cellStyleXfs count="2">
    <xf numFmtId="0" fontId="0" fillId="0" borderId="0"/>
    <xf numFmtId="0" fontId="4" fillId="5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wrapText="1"/>
    </xf>
    <xf numFmtId="0" fontId="1" fillId="3" borderId="3" xfId="0" quotePrefix="1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3" fontId="1" fillId="3" borderId="3" xfId="0" quotePrefix="1" applyNumberFormat="1" applyFont="1" applyFill="1" applyBorder="1" applyAlignment="1">
      <alignment horizontal="left" vertical="center" wrapText="1" readingOrder="1"/>
    </xf>
    <xf numFmtId="0" fontId="1" fillId="3" borderId="3" xfId="0" quotePrefix="1" applyFont="1" applyFill="1" applyBorder="1" applyAlignment="1">
      <alignment horizontal="center" vertical="center" wrapText="1" readingOrder="1"/>
    </xf>
    <xf numFmtId="0" fontId="1" fillId="3" borderId="5" xfId="0" quotePrefix="1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3" fontId="1" fillId="3" borderId="3" xfId="0" quotePrefix="1" applyNumberFormat="1" applyFont="1" applyFill="1" applyBorder="1" applyAlignment="1">
      <alignment horizontal="center" vertical="center" wrapText="1" readingOrder="1"/>
    </xf>
    <xf numFmtId="1" fontId="1" fillId="3" borderId="3" xfId="0" quotePrefix="1" applyNumberFormat="1" applyFont="1" applyFill="1" applyBorder="1" applyAlignment="1">
      <alignment horizontal="center" vertical="center" wrapText="1" readingOrder="1"/>
    </xf>
    <xf numFmtId="0" fontId="6" fillId="3" borderId="3" xfId="0" quotePrefix="1" applyFont="1" applyFill="1" applyBorder="1" applyAlignment="1">
      <alignment horizontal="center" vertical="center" wrapText="1" readingOrder="1"/>
    </xf>
    <xf numFmtId="166" fontId="5" fillId="5" borderId="3" xfId="1" quotePrefix="1" applyNumberFormat="1" applyFont="1" applyBorder="1" applyAlignment="1">
      <alignment horizontal="center" vertical="center" wrapText="1" readingOrder="1"/>
    </xf>
    <xf numFmtId="44" fontId="5" fillId="5" borderId="3" xfId="1" quotePrefix="1" applyNumberFormat="1" applyFont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164" fontId="1" fillId="3" borderId="3" xfId="0" quotePrefix="1" applyNumberFormat="1" applyFont="1" applyFill="1" applyBorder="1" applyAlignment="1">
      <alignment horizontal="center" vertical="center" wrapText="1" readingOrder="1"/>
    </xf>
    <xf numFmtId="0" fontId="0" fillId="0" borderId="0" xfId="0" applyFont="1" applyAlignment="1">
      <alignment wrapText="1"/>
    </xf>
    <xf numFmtId="167" fontId="5" fillId="5" borderId="3" xfId="1" quotePrefix="1" applyNumberFormat="1" applyFont="1" applyBorder="1" applyAlignment="1">
      <alignment horizontal="center" vertical="center" wrapText="1" readingOrder="1"/>
    </xf>
    <xf numFmtId="0" fontId="6" fillId="3" borderId="12" xfId="0" quotePrefix="1" applyFont="1" applyFill="1" applyBorder="1" applyAlignment="1">
      <alignment horizontal="center" vertical="center" wrapText="1" readingOrder="1"/>
    </xf>
    <xf numFmtId="0" fontId="6" fillId="3" borderId="6" xfId="0" quotePrefix="1" applyFont="1" applyFill="1" applyBorder="1" applyAlignment="1">
      <alignment horizontal="center" vertical="center" wrapText="1" readingOrder="1"/>
    </xf>
    <xf numFmtId="0" fontId="6" fillId="3" borderId="4" xfId="0" quotePrefix="1" applyFont="1" applyFill="1" applyBorder="1" applyAlignment="1">
      <alignment horizontal="center" vertical="center" wrapText="1" readingOrder="1"/>
    </xf>
    <xf numFmtId="0" fontId="1" fillId="3" borderId="12" xfId="0" quotePrefix="1" applyFont="1" applyFill="1" applyBorder="1" applyAlignment="1">
      <alignment horizontal="left" vertical="center" wrapText="1" readingOrder="1"/>
    </xf>
    <xf numFmtId="0" fontId="1" fillId="3" borderId="6" xfId="0" quotePrefix="1" applyFont="1" applyFill="1" applyBorder="1" applyAlignment="1">
      <alignment horizontal="left" vertical="center" wrapText="1" readingOrder="1"/>
    </xf>
    <xf numFmtId="0" fontId="1" fillId="3" borderId="4" xfId="0" quotePrefix="1" applyFont="1" applyFill="1" applyBorder="1" applyAlignment="1">
      <alignment horizontal="left" vertical="center" wrapText="1" readingOrder="1"/>
    </xf>
    <xf numFmtId="0" fontId="1" fillId="3" borderId="6" xfId="0" quotePrefix="1" applyFont="1" applyFill="1" applyBorder="1" applyAlignment="1">
      <alignment horizontal="center" vertical="center" wrapText="1" readingOrder="1"/>
    </xf>
    <xf numFmtId="0" fontId="1" fillId="3" borderId="4" xfId="0" quotePrefix="1" applyFont="1" applyFill="1" applyBorder="1" applyAlignment="1">
      <alignment horizontal="center" vertical="center" wrapText="1" readingOrder="1"/>
    </xf>
    <xf numFmtId="165" fontId="1" fillId="3" borderId="6" xfId="0" quotePrefix="1" applyNumberFormat="1" applyFont="1" applyFill="1" applyBorder="1" applyAlignment="1">
      <alignment horizontal="center" vertical="center" wrapText="1" readingOrder="1"/>
    </xf>
    <xf numFmtId="165" fontId="1" fillId="3" borderId="4" xfId="0" quotePrefix="1" applyNumberFormat="1" applyFont="1" applyFill="1" applyBorder="1" applyAlignment="1">
      <alignment horizontal="center" vertical="center" wrapText="1" readingOrder="1"/>
    </xf>
    <xf numFmtId="0" fontId="1" fillId="3" borderId="7" xfId="0" quotePrefix="1" applyFont="1" applyFill="1" applyBorder="1" applyAlignment="1">
      <alignment horizontal="center" vertical="center" wrapText="1" readingOrder="1"/>
    </xf>
    <xf numFmtId="0" fontId="1" fillId="3" borderId="8" xfId="0" quotePrefix="1" applyFont="1" applyFill="1" applyBorder="1" applyAlignment="1">
      <alignment horizontal="center" vertical="center" wrapText="1" readingOrder="1"/>
    </xf>
    <xf numFmtId="0" fontId="1" fillId="3" borderId="9" xfId="0" quotePrefix="1" applyFont="1" applyFill="1" applyBorder="1" applyAlignment="1">
      <alignment horizontal="center" vertical="center" wrapText="1" readingOrder="1"/>
    </xf>
    <xf numFmtId="0" fontId="1" fillId="3" borderId="10" xfId="0" quotePrefix="1" applyFont="1" applyFill="1" applyBorder="1" applyAlignment="1">
      <alignment horizontal="center" vertical="center" wrapText="1" readingOrder="1"/>
    </xf>
    <xf numFmtId="0" fontId="1" fillId="3" borderId="11" xfId="0" quotePrefix="1" applyFont="1" applyFill="1" applyBorder="1" applyAlignment="1">
      <alignment horizontal="center" vertical="center" wrapText="1" readingOrder="1"/>
    </xf>
  </cellXfs>
  <cellStyles count="2">
    <cellStyle name="Good" xfId="1" builtinId="26"/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1669-4D19-42D8-86BB-E55FDF20445A}">
  <sheetPr>
    <pageSetUpPr fitToPage="1"/>
  </sheetPr>
  <dimension ref="A1:Z32"/>
  <sheetViews>
    <sheetView tabSelected="1" topLeftCell="H1" zoomScale="130" zoomScaleNormal="130" workbookViewId="0">
      <pane ySplit="1" topLeftCell="A2" activePane="bottomLeft" state="frozen"/>
      <selection pane="bottomLeft" activeCell="Q2" sqref="Q2:Q5"/>
    </sheetView>
  </sheetViews>
  <sheetFormatPr defaultColWidth="9.21875" defaultRowHeight="14.4" x14ac:dyDescent="0.3"/>
  <cols>
    <col min="1" max="1" width="6.5546875" style="9" customWidth="1"/>
    <col min="2" max="2" width="7.77734375" style="12" customWidth="1"/>
    <col min="3" max="3" width="10.5546875" style="12" customWidth="1"/>
    <col min="4" max="4" width="17.77734375" style="12" customWidth="1"/>
    <col min="5" max="5" width="10.44140625" style="12" customWidth="1"/>
    <col min="6" max="6" width="14" style="12" customWidth="1"/>
    <col min="7" max="7" width="14.21875" style="12" customWidth="1"/>
    <col min="8" max="8" width="15.77734375" style="12" customWidth="1"/>
    <col min="9" max="9" width="12.21875" style="12" customWidth="1"/>
    <col min="10" max="10" width="14.44140625" style="12" customWidth="1"/>
    <col min="11" max="11" width="17.21875" style="12" customWidth="1"/>
    <col min="12" max="12" width="8.77734375" style="12"/>
    <col min="13" max="13" width="12" style="12" customWidth="1"/>
    <col min="14" max="14" width="10.21875" style="12" customWidth="1"/>
    <col min="15" max="15" width="32.5546875" style="12" customWidth="1"/>
    <col min="16" max="16" width="10" bestFit="1" customWidth="1"/>
    <col min="17" max="17" width="30.44140625" customWidth="1"/>
    <col min="18" max="18" width="12" customWidth="1"/>
    <col min="19" max="19" width="12.109375" customWidth="1"/>
    <col min="20" max="20" width="11.109375" customWidth="1"/>
    <col min="21" max="21" width="8.5546875" customWidth="1"/>
    <col min="22" max="22" width="13" customWidth="1"/>
    <col min="23" max="23" width="15.21875" customWidth="1"/>
    <col min="24" max="24" width="9.88671875" customWidth="1"/>
    <col min="25" max="25" width="10.6640625" customWidth="1"/>
    <col min="26" max="26" width="10.5546875" customWidth="1"/>
  </cols>
  <sheetData>
    <row r="1" spans="1:26" s="1" customFormat="1" ht="42.6" customHeight="1" thickBot="1" x14ac:dyDescent="0.35">
      <c r="A1" s="7" t="s">
        <v>0</v>
      </c>
      <c r="B1" s="10" t="s">
        <v>1</v>
      </c>
      <c r="C1" s="10" t="s">
        <v>2</v>
      </c>
      <c r="D1" s="10" t="s">
        <v>4</v>
      </c>
      <c r="E1" s="10" t="s">
        <v>5</v>
      </c>
      <c r="F1" s="10" t="s">
        <v>15</v>
      </c>
      <c r="G1" s="10" t="s">
        <v>9</v>
      </c>
      <c r="H1" s="10" t="s">
        <v>13</v>
      </c>
      <c r="I1" s="10" t="s">
        <v>10</v>
      </c>
      <c r="J1" s="10" t="s">
        <v>11</v>
      </c>
      <c r="K1" s="10" t="s">
        <v>6</v>
      </c>
      <c r="L1" s="10" t="s">
        <v>7</v>
      </c>
      <c r="M1" s="10" t="s">
        <v>8</v>
      </c>
      <c r="N1" s="10" t="s">
        <v>3</v>
      </c>
      <c r="O1" s="10" t="s">
        <v>25</v>
      </c>
      <c r="P1" s="3" t="s">
        <v>12</v>
      </c>
      <c r="Q1" s="3" t="s">
        <v>14</v>
      </c>
      <c r="R1" s="18" t="s">
        <v>16</v>
      </c>
      <c r="S1" s="18" t="s">
        <v>17</v>
      </c>
      <c r="T1" s="19" t="s">
        <v>18</v>
      </c>
      <c r="U1" s="19" t="s">
        <v>19</v>
      </c>
      <c r="V1" s="19" t="s">
        <v>22</v>
      </c>
      <c r="W1" s="19" t="s">
        <v>20</v>
      </c>
      <c r="X1" s="18" t="s">
        <v>23</v>
      </c>
      <c r="Y1" s="18" t="s">
        <v>21</v>
      </c>
      <c r="Z1" s="18" t="s">
        <v>24</v>
      </c>
    </row>
    <row r="2" spans="1:26" s="21" customFormat="1" ht="25.05" customHeight="1" thickBot="1" x14ac:dyDescent="0.35">
      <c r="A2" s="29">
        <v>1</v>
      </c>
      <c r="B2" s="6" t="s">
        <v>26</v>
      </c>
      <c r="C2" s="6" t="s">
        <v>28</v>
      </c>
      <c r="D2" s="6" t="s">
        <v>57</v>
      </c>
      <c r="E2" s="6" t="s">
        <v>33</v>
      </c>
      <c r="F2" s="6" t="s">
        <v>39</v>
      </c>
      <c r="G2" s="14" t="s">
        <v>35</v>
      </c>
      <c r="H2" s="33" t="s">
        <v>32</v>
      </c>
      <c r="I2" s="33" t="s">
        <v>31</v>
      </c>
      <c r="J2" s="33" t="s">
        <v>34</v>
      </c>
      <c r="K2" s="36" t="s">
        <v>27</v>
      </c>
      <c r="L2" s="29">
        <v>2</v>
      </c>
      <c r="M2" s="31">
        <v>2797346.33</v>
      </c>
      <c r="N2" s="31">
        <v>12802261.52</v>
      </c>
      <c r="O2" s="26" t="s">
        <v>54</v>
      </c>
      <c r="P2" s="23" t="s">
        <v>53</v>
      </c>
      <c r="Q2" s="26" t="s">
        <v>59</v>
      </c>
      <c r="R2" s="20">
        <v>0.35632000000000003</v>
      </c>
      <c r="S2" s="20">
        <v>0.18192</v>
      </c>
      <c r="T2" s="13">
        <v>5584251</v>
      </c>
      <c r="U2" s="13">
        <v>33505508</v>
      </c>
      <c r="V2" s="16">
        <f>T2*(S2-R2)</f>
        <v>-973893.3744000002</v>
      </c>
      <c r="W2" s="16">
        <f t="shared" ref="W2" si="0">U2*(S2-R2)</f>
        <v>-5843360.5952000013</v>
      </c>
      <c r="X2" s="17">
        <v>0</v>
      </c>
      <c r="Y2" s="17">
        <v>0</v>
      </c>
      <c r="Z2" s="17">
        <f t="shared" ref="Z2:Z3" si="1">Y2-X2</f>
        <v>0</v>
      </c>
    </row>
    <row r="3" spans="1:26" s="21" customFormat="1" ht="25.05" customHeight="1" thickBot="1" x14ac:dyDescent="0.35">
      <c r="A3" s="29"/>
      <c r="B3" s="6" t="s">
        <v>26</v>
      </c>
      <c r="C3" s="6" t="s">
        <v>29</v>
      </c>
      <c r="D3" s="6" t="s">
        <v>58</v>
      </c>
      <c r="E3" s="6" t="s">
        <v>33</v>
      </c>
      <c r="F3" s="6" t="s">
        <v>39</v>
      </c>
      <c r="G3" s="14" t="s">
        <v>36</v>
      </c>
      <c r="H3" s="34"/>
      <c r="I3" s="34"/>
      <c r="J3" s="34"/>
      <c r="K3" s="36"/>
      <c r="L3" s="29"/>
      <c r="M3" s="31"/>
      <c r="N3" s="31"/>
      <c r="O3" s="27"/>
      <c r="P3" s="24"/>
      <c r="Q3" s="27"/>
      <c r="R3" s="20">
        <v>0.35661999999999999</v>
      </c>
      <c r="S3" s="20">
        <v>0.18192</v>
      </c>
      <c r="T3" s="13">
        <v>428916</v>
      </c>
      <c r="U3" s="13">
        <v>3431324</v>
      </c>
      <c r="V3" s="16">
        <f>T3*(S3-R3)</f>
        <v>-74931.625199999995</v>
      </c>
      <c r="W3" s="16">
        <f>U3*(S3-R3)</f>
        <v>-599452.30279999995</v>
      </c>
      <c r="X3" s="17">
        <v>0</v>
      </c>
      <c r="Y3" s="17">
        <v>0</v>
      </c>
      <c r="Z3" s="17">
        <f t="shared" si="1"/>
        <v>0</v>
      </c>
    </row>
    <row r="4" spans="1:26" s="21" customFormat="1" ht="25.05" customHeight="1" thickBot="1" x14ac:dyDescent="0.35">
      <c r="A4" s="29"/>
      <c r="B4" s="6" t="s">
        <v>26</v>
      </c>
      <c r="C4" s="6" t="s">
        <v>29</v>
      </c>
      <c r="D4" s="6" t="s">
        <v>56</v>
      </c>
      <c r="E4" s="6" t="s">
        <v>33</v>
      </c>
      <c r="F4" s="6" t="s">
        <v>39</v>
      </c>
      <c r="G4" s="14" t="s">
        <v>37</v>
      </c>
      <c r="H4" s="34"/>
      <c r="I4" s="34"/>
      <c r="J4" s="34"/>
      <c r="K4" s="36"/>
      <c r="L4" s="29"/>
      <c r="M4" s="31"/>
      <c r="N4" s="31"/>
      <c r="O4" s="27"/>
      <c r="P4" s="24"/>
      <c r="Q4" s="27"/>
      <c r="R4" s="20">
        <v>0.3</v>
      </c>
      <c r="S4" s="20">
        <v>0.18190000000000001</v>
      </c>
      <c r="T4" s="13">
        <v>571200</v>
      </c>
      <c r="U4" s="13">
        <v>3998400</v>
      </c>
      <c r="V4" s="16">
        <f t="shared" ref="V4:V5" si="2">T4*(S4-R4)</f>
        <v>-67458.719999999987</v>
      </c>
      <c r="W4" s="16">
        <f t="shared" ref="W4:W5" si="3">U4*(S4-R4)</f>
        <v>-472211.03999999992</v>
      </c>
      <c r="X4" s="17">
        <v>0</v>
      </c>
      <c r="Y4" s="17">
        <v>0</v>
      </c>
      <c r="Z4" s="17">
        <f t="shared" ref="Z4:Z6" si="4">Y4-X4</f>
        <v>0</v>
      </c>
    </row>
    <row r="5" spans="1:26" s="21" customFormat="1" ht="25.05" customHeight="1" thickBot="1" x14ac:dyDescent="0.35">
      <c r="A5" s="30"/>
      <c r="B5" s="5" t="s">
        <v>30</v>
      </c>
      <c r="C5" s="5" t="s">
        <v>28</v>
      </c>
      <c r="D5" s="5" t="s">
        <v>57</v>
      </c>
      <c r="E5" s="5" t="s">
        <v>33</v>
      </c>
      <c r="F5" s="6" t="s">
        <v>39</v>
      </c>
      <c r="G5" s="14" t="s">
        <v>38</v>
      </c>
      <c r="H5" s="35"/>
      <c r="I5" s="35"/>
      <c r="J5" s="35"/>
      <c r="K5" s="37"/>
      <c r="L5" s="30"/>
      <c r="M5" s="32"/>
      <c r="N5" s="32"/>
      <c r="O5" s="28"/>
      <c r="P5" s="25"/>
      <c r="Q5" s="28"/>
      <c r="R5" s="20">
        <f>0.3528</f>
        <v>0.3528</v>
      </c>
      <c r="S5" s="20">
        <v>0.1794</v>
      </c>
      <c r="T5" s="13">
        <v>4975602</v>
      </c>
      <c r="U5" s="13">
        <v>29853609</v>
      </c>
      <c r="V5" s="16">
        <f t="shared" si="2"/>
        <v>-862769.38679999998</v>
      </c>
      <c r="W5" s="16">
        <f t="shared" si="3"/>
        <v>-5176615.8005999997</v>
      </c>
      <c r="X5" s="17">
        <v>0</v>
      </c>
      <c r="Y5" s="22">
        <v>35000</v>
      </c>
      <c r="Z5" s="22">
        <f t="shared" si="4"/>
        <v>35000</v>
      </c>
    </row>
    <row r="6" spans="1:26" s="1" customFormat="1" ht="61.2" customHeight="1" thickBot="1" x14ac:dyDescent="0.35">
      <c r="A6" s="6">
        <v>2</v>
      </c>
      <c r="B6" s="5" t="s">
        <v>26</v>
      </c>
      <c r="C6" s="5" t="s">
        <v>40</v>
      </c>
      <c r="D6" s="5" t="s">
        <v>56</v>
      </c>
      <c r="E6" s="13" t="s">
        <v>41</v>
      </c>
      <c r="F6" s="13" t="s">
        <v>49</v>
      </c>
      <c r="G6" s="14">
        <v>110000031840</v>
      </c>
      <c r="H6" s="5" t="s">
        <v>42</v>
      </c>
      <c r="I6" s="5" t="s">
        <v>43</v>
      </c>
      <c r="J6" s="5" t="s">
        <v>44</v>
      </c>
      <c r="K6" s="13" t="s">
        <v>45</v>
      </c>
      <c r="L6" s="13" t="s">
        <v>46</v>
      </c>
      <c r="M6" s="5" t="s">
        <v>47</v>
      </c>
      <c r="N6" s="5" t="s">
        <v>48</v>
      </c>
      <c r="O6" s="4" t="s">
        <v>55</v>
      </c>
      <c r="P6" s="15" t="s">
        <v>52</v>
      </c>
      <c r="Q6" s="4"/>
      <c r="R6" s="13" t="s">
        <v>50</v>
      </c>
      <c r="S6" s="13" t="s">
        <v>51</v>
      </c>
      <c r="T6" s="13">
        <v>333200</v>
      </c>
      <c r="U6" s="13">
        <v>2332400</v>
      </c>
      <c r="V6" s="16">
        <f>(0.45891-0.45873)*T6</f>
        <v>59.975999999985994</v>
      </c>
      <c r="W6" s="16">
        <f>(0.45891-0.45873)*U6</f>
        <v>419.831999999902</v>
      </c>
      <c r="X6" s="13">
        <v>0</v>
      </c>
      <c r="Y6" s="5">
        <v>0</v>
      </c>
      <c r="Z6" s="17">
        <f t="shared" si="4"/>
        <v>0</v>
      </c>
    </row>
    <row r="7" spans="1:26" s="1" customFormat="1" ht="61.2" customHeight="1" thickBot="1" x14ac:dyDescent="0.3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s="1" customFormat="1" ht="42.6" customHeight="1" x14ac:dyDescent="0.3">
      <c r="A8" s="8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26" s="1" customFormat="1" ht="42.6" customHeight="1" x14ac:dyDescent="0.3">
      <c r="A9" s="8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26" s="1" customFormat="1" ht="42.6" customHeight="1" x14ac:dyDescent="0.3">
      <c r="A10" s="8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26" s="1" customFormat="1" ht="42.6" customHeight="1" x14ac:dyDescent="0.3">
      <c r="A11" s="8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26" s="1" customFormat="1" ht="42.6" customHeight="1" x14ac:dyDescent="0.3">
      <c r="A12" s="8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26" s="1" customFormat="1" ht="42.6" customHeight="1" x14ac:dyDescent="0.3">
      <c r="A13" s="8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26" s="1" customFormat="1" ht="42.6" customHeight="1" x14ac:dyDescent="0.3">
      <c r="A14" s="8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26" s="1" customFormat="1" ht="42.6" customHeight="1" x14ac:dyDescent="0.3">
      <c r="A15" s="8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26" s="1" customFormat="1" ht="42.6" customHeight="1" x14ac:dyDescent="0.3">
      <c r="A16" s="8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1" customFormat="1" ht="42.6" customHeight="1" x14ac:dyDescent="0.3">
      <c r="A17" s="8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s="1" customFormat="1" ht="42.6" customHeight="1" x14ac:dyDescent="0.3">
      <c r="A18" s="8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s="1" customFormat="1" ht="42.6" customHeight="1" x14ac:dyDescent="0.3">
      <c r="A19" s="8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s="1" customFormat="1" ht="42.6" customHeight="1" x14ac:dyDescent="0.3">
      <c r="A20" s="8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s="1" customFormat="1" ht="42.6" customHeight="1" x14ac:dyDescent="0.3">
      <c r="A21" s="8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s="1" customFormat="1" ht="42.6" customHeight="1" x14ac:dyDescent="0.3">
      <c r="A22" s="8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1" customFormat="1" ht="42.6" customHeight="1" x14ac:dyDescent="0.3">
      <c r="A23" s="8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s="1" customFormat="1" ht="42.6" customHeight="1" x14ac:dyDescent="0.3">
      <c r="A24" s="8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s="1" customFormat="1" ht="42.6" customHeight="1" x14ac:dyDescent="0.3">
      <c r="A25" s="8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s="1" customFormat="1" ht="42.6" customHeight="1" x14ac:dyDescent="0.3">
      <c r="A26" s="8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s="1" customFormat="1" ht="42.6" customHeight="1" x14ac:dyDescent="0.3">
      <c r="A27" s="8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 s="1" customFormat="1" ht="42.6" customHeight="1" x14ac:dyDescent="0.3">
      <c r="A28" s="8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1:15" s="1" customFormat="1" ht="42.6" customHeight="1" x14ac:dyDescent="0.3">
      <c r="A29" s="8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pans="1:15" s="1" customFormat="1" ht="42.6" customHeight="1" x14ac:dyDescent="0.3">
      <c r="A30" s="8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spans="1:15" s="1" customFormat="1" ht="42.6" customHeight="1" x14ac:dyDescent="0.3">
      <c r="A31" s="8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 s="1" customFormat="1" ht="42.6" customHeight="1" x14ac:dyDescent="0.3">
      <c r="A32" s="8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</sheetData>
  <mergeCells count="11">
    <mergeCell ref="A2:A5"/>
    <mergeCell ref="H2:H5"/>
    <mergeCell ref="I2:I5"/>
    <mergeCell ref="J2:J5"/>
    <mergeCell ref="K2:K5"/>
    <mergeCell ref="P2:P5"/>
    <mergeCell ref="Q2:Q5"/>
    <mergeCell ref="L2:L5"/>
    <mergeCell ref="M2:M5"/>
    <mergeCell ref="N2:N5"/>
    <mergeCell ref="O2:O5"/>
  </mergeCells>
  <phoneticPr fontId="3" type="noConversion"/>
  <conditionalFormatting sqref="V1 Z1 V7:V1048576">
    <cfRule type="cellIs" dxfId="6" priority="13" operator="lessThan">
      <formula>0</formula>
    </cfRule>
  </conditionalFormatting>
  <conditionalFormatting sqref="V2:W6">
    <cfRule type="cellIs" dxfId="5" priority="3" operator="greaterThan">
      <formula>0</formula>
    </cfRule>
    <cfRule type="cellIs" dxfId="4" priority="4" operator="lessThan">
      <formula>0</formula>
    </cfRule>
  </conditionalFormatting>
  <conditionalFormatting sqref="X2:Z5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Z6">
    <cfRule type="cellIs" dxfId="1" priority="7" operator="greaterThan">
      <formula>0</formula>
    </cfRule>
  </conditionalFormatting>
  <conditionalFormatting sqref="Z6:Z1048576">
    <cfRule type="cellIs" dxfId="0" priority="8" operator="lessThan">
      <formula>0</formula>
    </cfRule>
  </conditionalFormatting>
  <pageMargins left="0.7" right="0.7" top="0.75" bottom="0.75" header="0.3" footer="0.3"/>
  <pageSetup paperSize="17" scale="71" fitToHeight="0" orientation="landscape" r:id="rId1"/>
  <customProperties>
    <customPr name="_pios_id" r:id="rId2"/>
    <customPr name="Ibp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AE94798D0E7D4487CB84FC9A87565D" ma:contentTypeVersion="10" ma:contentTypeDescription="Ein neues Dokument erstellen." ma:contentTypeScope="" ma:versionID="728a42373757fe19dbf32cb01accea12">
  <xsd:schema xmlns:xsd="http://www.w3.org/2001/XMLSchema" xmlns:xs="http://www.w3.org/2001/XMLSchema" xmlns:p="http://schemas.microsoft.com/office/2006/metadata/properties" xmlns:ns2="c58f02bd-e0b7-474b-a2bc-9a19f162f3a8" xmlns:ns3="b7d00205-0ffb-4bc2-b18e-b800942d8fea" targetNamespace="http://schemas.microsoft.com/office/2006/metadata/properties" ma:root="true" ma:fieldsID="86d1219d07439347edf1a7dd06578600" ns2:_="" ns3:_="">
    <xsd:import namespace="c58f02bd-e0b7-474b-a2bc-9a19f162f3a8"/>
    <xsd:import namespace="b7d00205-0ffb-4bc2-b18e-b800942d8f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f02bd-e0b7-474b-a2bc-9a19f162f3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2c1abb6-7528-48c8-bade-a0efe80568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00205-0ffb-4bc2-b18e-b800942d8f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f941d5-66b0-4dcf-b0f6-17179381c1ce}" ma:internalName="TaxCatchAll" ma:showField="CatchAllData" ma:web="b7d00205-0ffb-4bc2-b18e-b800942d8f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d00205-0ffb-4bc2-b18e-b800942d8fea" xsi:nil="true"/>
    <lcf76f155ced4ddcb4097134ff3c332f xmlns="c58f02bd-e0b7-474b-a2bc-9a19f162f3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59A706-2A5D-45F5-B2AC-95784C06072A}"/>
</file>

<file path=customXml/itemProps2.xml><?xml version="1.0" encoding="utf-8"?>
<ds:datastoreItem xmlns:ds="http://schemas.openxmlformats.org/officeDocument/2006/customXml" ds:itemID="{B7B306E9-6A6E-4120-8548-AD5E38C3CC3B}"/>
</file>

<file path=customXml/itemProps3.xml><?xml version="1.0" encoding="utf-8"?>
<ds:datastoreItem xmlns:ds="http://schemas.openxmlformats.org/officeDocument/2006/customXml" ds:itemID="{E658A998-FE51-41DF-A776-4EAE5B34763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KW25, 2026</vt:lpstr>
    </vt:vector>
  </TitlesOfParts>
  <Company>RVNA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Xiangwei Chen ALF RPSBE1</dc:creator>
  <cp:lastModifiedBy>Xiangwei Chen ALF RPSBE1</cp:lastModifiedBy>
  <cp:lastPrinted>2025-09-15T15:27:47Z</cp:lastPrinted>
  <dcterms:created xsi:type="dcterms:W3CDTF">2025-09-02T13:26:50Z</dcterms:created>
  <dcterms:modified xsi:type="dcterms:W3CDTF">2026-07-03T16:32:09Z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57171-d5a2-4c27-b720-d0ccc7e87f50_Enabled">
    <vt:lpwstr>true</vt:lpwstr>
  </property>
  <property fmtid="{D5CDD505-2E9C-101B-9397-08002B2CF9AE}" pid="3" name="MSIP_Label_1b557171-d5a2-4c27-b720-d0ccc7e87f50_SetDate">
    <vt:lpwstr>2025-09-02T13:33:29Z</vt:lpwstr>
  </property>
  <property fmtid="{D5CDD505-2E9C-101B-9397-08002B2CF9AE}" pid="4" name="MSIP_Label_1b557171-d5a2-4c27-b720-d0ccc7e87f50_Method">
    <vt:lpwstr>Privileged</vt:lpwstr>
  </property>
  <property fmtid="{D5CDD505-2E9C-101B-9397-08002B2CF9AE}" pid="5" name="MSIP_Label_1b557171-d5a2-4c27-b720-d0ccc7e87f50_Name">
    <vt:lpwstr>RVNA Confidential Sub_2</vt:lpwstr>
  </property>
  <property fmtid="{D5CDD505-2E9C-101B-9397-08002B2CF9AE}" pid="6" name="MSIP_Label_1b557171-d5a2-4c27-b720-d0ccc7e87f50_SiteId">
    <vt:lpwstr>87f9dc52-94b9-4266-8431-8be91e1f699c</vt:lpwstr>
  </property>
  <property fmtid="{D5CDD505-2E9C-101B-9397-08002B2CF9AE}" pid="7" name="MSIP_Label_1b557171-d5a2-4c27-b720-d0ccc7e87f50_ActionId">
    <vt:lpwstr>9560bc8f-fcd9-47ac-b9f2-f7340a6dea54</vt:lpwstr>
  </property>
  <property fmtid="{D5CDD505-2E9C-101B-9397-08002B2CF9AE}" pid="8" name="MSIP_Label_1b557171-d5a2-4c27-b720-d0ccc7e87f50_ContentBits">
    <vt:lpwstr>1</vt:lpwstr>
  </property>
  <property fmtid="{D5CDD505-2E9C-101B-9397-08002B2CF9AE}" pid="9" name="CustomUiType">
    <vt:lpwstr>2</vt:lpwstr>
  </property>
  <property fmtid="{D5CDD505-2E9C-101B-9397-08002B2CF9AE}" pid="10" name="IbpWorkbookKeyString_GUID">
    <vt:lpwstr>c7b7ae5a-f3f0-43ee-b73c-55769b880291</vt:lpwstr>
  </property>
  <property fmtid="{D5CDD505-2E9C-101B-9397-08002B2CF9AE}" pid="11" name="ContentTypeId">
    <vt:lpwstr>0x010100D2AE94798D0E7D4487CB84FC9A87565D</vt:lpwstr>
  </property>
</Properties>
</file>