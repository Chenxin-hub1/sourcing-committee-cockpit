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37, 09.09.2026/"/>
    </mc:Choice>
  </mc:AlternateContent>
  <xr:revisionPtr revIDLastSave="90" documentId="8_{6840C11C-A3D0-4FFA-BA33-46515DDB4A78}" xr6:coauthVersionLast="47" xr6:coauthVersionMax="47" xr10:uidLastSave="{81535D7D-D7D6-4973-8AE9-16131D79EEC1}"/>
  <bookViews>
    <workbookView xWindow="-108" yWindow="-108" windowWidth="23256" windowHeight="12456" xr2:uid="{00000000-000D-0000-FFFF-FFFF00000000}"/>
  </bookViews>
  <sheets>
    <sheet name="KW37, 2026"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4" l="1"/>
  <c r="X5" i="4"/>
  <c r="X10" i="4"/>
  <c r="W10" i="4"/>
  <c r="X9" i="4"/>
  <c r="W9" i="4"/>
  <c r="X8" i="4"/>
  <c r="W8" i="4"/>
  <c r="AA7" i="4"/>
  <c r="X7" i="4"/>
  <c r="W7" i="4"/>
  <c r="X6" i="4"/>
  <c r="W6" i="4"/>
  <c r="AA2" i="4"/>
  <c r="X2" i="4"/>
  <c r="W2" i="4"/>
  <c r="AA8" i="4"/>
</calcChain>
</file>

<file path=xl/sharedStrings.xml><?xml version="1.0" encoding="utf-8"?>
<sst xmlns="http://schemas.openxmlformats.org/spreadsheetml/2006/main" count="175" uniqueCount="114">
  <si>
    <t>Presenting Time</t>
  </si>
  <si>
    <t>#</t>
  </si>
  <si>
    <t>Region</t>
  </si>
  <si>
    <t>Type</t>
  </si>
  <si>
    <t>Project/ Product</t>
  </si>
  <si>
    <t>Commodity</t>
  </si>
  <si>
    <t>Parent PF Code</t>
  </si>
  <si>
    <t>SWAT ID / Bundle ID</t>
  </si>
  <si>
    <t>Part Description</t>
  </si>
  <si>
    <t>PN</t>
  </si>
  <si>
    <t>Recommended Supplier (s)</t>
  </si>
  <si>
    <t>Presenter</t>
  </si>
  <si>
    <t>Decision Level</t>
  </si>
  <si>
    <t>Peak Year Spend</t>
  </si>
  <si>
    <t xml:space="preserve">LT Spend </t>
  </si>
  <si>
    <t>Comment</t>
  </si>
  <si>
    <t xml:space="preserve">Sourcing Decision </t>
  </si>
  <si>
    <t>Notes/Task/ Resp./ Due Date</t>
  </si>
  <si>
    <t>CQA PC PRICE</t>
  </si>
  <si>
    <t>Rec. Supplier Landed</t>
  </si>
  <si>
    <t>Average Volume</t>
  </si>
  <si>
    <t>LT volume</t>
  </si>
  <si>
    <t>Average Year Saving vs CQA</t>
  </si>
  <si>
    <t>LT saving</t>
  </si>
  <si>
    <t>CQA Tooling</t>
  </si>
  <si>
    <t xml:space="preserve">Rec. Supplier Tooling </t>
  </si>
  <si>
    <t>Tooling Saving vs CQA</t>
  </si>
  <si>
    <t>13.05-13.15</t>
  </si>
  <si>
    <t>NA</t>
  </si>
  <si>
    <t>New part</t>
  </si>
  <si>
    <t>LSU Zinc to POM
Family 8</t>
  </si>
  <si>
    <t>Functional plastics</t>
  </si>
  <si>
    <t>CH01014
High Precision</t>
  </si>
  <si>
    <t>110000034177</t>
  </si>
  <si>
    <t>Clutch Disc</t>
  </si>
  <si>
    <t>R000V223D</t>
  </si>
  <si>
    <t>Prism Plastics Inc</t>
  </si>
  <si>
    <t>Alberto Martínez</t>
  </si>
  <si>
    <t>L3</t>
  </si>
  <si>
    <t>391K Euro</t>
  </si>
  <si>
    <t>1,09 Mio Euro</t>
  </si>
  <si>
    <t>0,0865 Euro/pc
0,0952 USD/pc</t>
  </si>
  <si>
    <t>0,0715 Euro/pc
0,0787 USD/pc</t>
  </si>
  <si>
    <t>209091 Euro
230000 USD</t>
  </si>
  <si>
    <t>13.35-14.05</t>
  </si>
  <si>
    <t>EU</t>
  </si>
  <si>
    <t>MBEAL
Family 8</t>
  </si>
  <si>
    <t>EL</t>
  </si>
  <si>
    <t>EL02002
ECU Build to Print</t>
  </si>
  <si>
    <t>110000034768</t>
  </si>
  <si>
    <t>ECUA with WMS</t>
  </si>
  <si>
    <t>R003B137A</t>
  </si>
  <si>
    <t>KIMBALL ELECTRONICS ROMANIA</t>
  </si>
  <si>
    <t>MELISA BOUZO</t>
  </si>
  <si>
    <t>L2</t>
  </si>
  <si>
    <t>2,6 Mio Euro</t>
  </si>
  <si>
    <t>14,2 Mio Euro</t>
  </si>
  <si>
    <t>9,35 EUR/pc</t>
  </si>
  <si>
    <t>tbd</t>
  </si>
  <si>
    <t>110000034769</t>
  </si>
  <si>
    <t>1,9 Mio Euro</t>
  </si>
  <si>
    <t>11,46 Mio Euro</t>
  </si>
  <si>
    <t>110000034781</t>
  </si>
  <si>
    <t>ECUA w/o WMS</t>
  </si>
  <si>
    <t>R003H247A</t>
  </si>
  <si>
    <t>Kimball Electronics Mexico, Inc.</t>
  </si>
  <si>
    <t>2,22Mio Euro
2,44Mio USD</t>
  </si>
  <si>
    <t>14,1Mio Euro
15,5Mio USD</t>
  </si>
  <si>
    <t>CQA based on WMS version, non-WMS was not taken into consideration during the CQA</t>
  </si>
  <si>
    <t>9,35 EUR/pc
10,29 USD/pc</t>
  </si>
  <si>
    <t>10,65 EUR/pc
11,71 USD/pc</t>
  </si>
  <si>
    <t>offline approved</t>
  </si>
  <si>
    <t>New</t>
  </si>
  <si>
    <t>MBEAL</t>
  </si>
  <si>
    <t>CH</t>
  </si>
  <si>
    <t>CH01002
Average Precision</t>
  </si>
  <si>
    <t>B/2026/00173
110000035362</t>
  </si>
  <si>
    <t>COVER_ BUCKLE BOOT, Ivory Beige</t>
  </si>
  <si>
    <t>R004N013A</t>
  </si>
  <si>
    <t>Shanghai Jinglei Plastics ToolingCo</t>
  </si>
  <si>
    <t>Viridiana Gomez</t>
  </si>
  <si>
    <t>L4</t>
  </si>
  <si>
    <t>10K Euro</t>
  </si>
  <si>
    <t>60K Euro</t>
  </si>
  <si>
    <t>Approved offline KW36</t>
  </si>
  <si>
    <t>0,53 Euro/pc</t>
  </si>
  <si>
    <t>0,2488 Euro/pc</t>
  </si>
  <si>
    <t xml:space="preserve">CH </t>
  </si>
  <si>
    <t>B/2026/00173
110000034927</t>
  </si>
  <si>
    <t>COVER_ BUCKLE BOOT, Black</t>
  </si>
  <si>
    <t>R003U014</t>
  </si>
  <si>
    <t>12K Euro</t>
  </si>
  <si>
    <t>73K Euro</t>
  </si>
  <si>
    <t>0,50 Euro/pc</t>
  </si>
  <si>
    <t>B/2026/00173
110000034869</t>
  </si>
  <si>
    <t>COVER_ BUCKLE BOOT</t>
  </si>
  <si>
    <t>R004B094</t>
  </si>
  <si>
    <t>360K Euro</t>
  </si>
  <si>
    <t>0,28 Euro/pc</t>
  </si>
  <si>
    <t>0,2009 Euro/pc</t>
  </si>
  <si>
    <t>Boot black</t>
  </si>
  <si>
    <t>R004E206</t>
  </si>
  <si>
    <t>Ningbo Deke Precision MoldingCo., L</t>
  </si>
  <si>
    <t>Sandra Novegil</t>
  </si>
  <si>
    <t>23K Euro</t>
  </si>
  <si>
    <t>136K Euro</t>
  </si>
  <si>
    <t>1. No tooling costs were included in the original CQA, the Boot was considered a BR223 carry-over component (34272725B) in the initial business case.
2. Tooling to be paid in amortized way, 
45971 Euro into 50K pcs of parts, amo per pc: 0,9195 Euro/pc. 
Tooling 4 cav, tool life time 1Mio pcs.
3. CCB2 approved, in parallel seek customer reimbursement  through ongoing commercial negotiations
4. Technology switch from blow molded boot to injection molded boot, to improve assembly and save component cost.</t>
  </si>
  <si>
    <t>Approved offline KW37</t>
  </si>
  <si>
    <t>0,60 Euro/pc</t>
  </si>
  <si>
    <t>0,2014 Euro/pc</t>
  </si>
  <si>
    <t>Boot Ivory Beige</t>
  </si>
  <si>
    <t>R004M613</t>
  </si>
  <si>
    <t>18K Euro</t>
  </si>
  <si>
    <t>111K 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</si>
</sst>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quot;€&quot;_-;\-* #,##0.00\ &quot;€&quot;_-;_-* &quot;-&quot;??\ &quot;€&quot;_-;_-@_-"/>
    <numFmt numFmtId="165" formatCode="_-* #,##0.00_-;\-* #,##0.00_-;_-* &quot;-&quot;??_-;_-@_-"/>
    <numFmt numFmtId="166" formatCode="#,##0\ [$€-407];\-#,##0\ [$€-407]"/>
    <numFmt numFmtId="167" formatCode="_-* #,##0\ &quot;€&quot;_-;\-* #,##0\ &quot;€&quot;_-;_-* &quot;-&quot;??\ &quot;€&quot;_-;_-@_-"/>
    <numFmt numFmtId="168" formatCode="_-* #,##0_-;\-* #,##0_-;_-* &quot;-&quot;??_-;_-@_-"/>
  </numFmts>
  <fonts count="10">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rgb="FF00B050"/>
      <name val="Arial"/>
      <family val="2"/>
    </font>
    <font>
      <sz val="8"/>
      <name val="Arial"/>
      <family val="2"/>
    </font>
    <font>
      <sz val="11"/>
      <color theme="1"/>
      <name val="Calibri"/>
      <family val="2"/>
      <scheme val="minor"/>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rgb="FFFFFFFF"/>
      </left>
      <right style="medium">
        <color theme="0"/>
      </right>
      <top style="medium">
        <color theme="0"/>
      </top>
      <bottom/>
      <diagonal/>
    </border>
    <border>
      <left/>
      <right style="medium">
        <color rgb="FFFFFFFF"/>
      </right>
      <top/>
      <bottom style="medium">
        <color rgb="FFFFFFFF"/>
      </bottom>
      <diagonal/>
    </border>
    <border>
      <left style="medium">
        <color rgb="FFFFFFFF"/>
      </left>
      <right style="medium">
        <color theme="0"/>
      </right>
      <top/>
      <bottom style="medium">
        <color theme="0"/>
      </bottom>
      <diagonal/>
    </border>
    <border>
      <left/>
      <right/>
      <top style="medium">
        <color theme="0"/>
      </top>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style="medium">
        <color theme="0"/>
      </top>
      <bottom/>
      <diagonal/>
    </border>
    <border>
      <left/>
      <right style="medium">
        <color theme="0"/>
      </right>
      <top/>
      <bottom/>
      <diagonal/>
    </border>
  </borders>
  <cellStyleXfs count="4">
    <xf numFmtId="0" fontId="0" fillId="0" borderId="0"/>
    <xf numFmtId="0" fontId="3" fillId="5" borderId="0" applyNumberFormat="0" applyBorder="0" applyAlignment="0" applyProtection="0"/>
    <xf numFmtId="165" fontId="9" fillId="0" borderId="0" applyFont="0" applyFill="0" applyBorder="0" applyAlignment="0" applyProtection="0"/>
    <xf numFmtId="165" fontId="9" fillId="0" borderId="0" applyFont="0" applyFill="0" applyBorder="0" applyAlignment="0" applyProtection="0"/>
  </cellStyleXfs>
  <cellXfs count="30">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6"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16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applyFont="1" applyFill="1" applyBorder="1" applyAlignment="1">
      <alignment horizontal="center" vertical="center" wrapText="1"/>
    </xf>
    <xf numFmtId="0" fontId="7" fillId="3" borderId="3" xfId="0" quotePrefix="1" applyFont="1" applyFill="1" applyBorder="1" applyAlignment="1">
      <alignment horizontal="center" vertical="center" wrapText="1" readingOrder="1"/>
    </xf>
    <xf numFmtId="167" fontId="4" fillId="5" borderId="3" xfId="1" quotePrefix="1" applyNumberFormat="1" applyFont="1" applyBorder="1" applyAlignment="1">
      <alignment horizontal="center" vertical="center" wrapText="1" readingOrder="1"/>
    </xf>
    <xf numFmtId="0" fontId="1" fillId="3" borderId="4" xfId="0" quotePrefix="1" applyFont="1" applyFill="1" applyBorder="1" applyAlignment="1">
      <alignment vertical="center" wrapText="1" readingOrder="1"/>
    </xf>
    <xf numFmtId="3" fontId="8" fillId="3" borderId="3" xfId="0" quotePrefix="1" applyNumberFormat="1" applyFont="1" applyFill="1" applyBorder="1" applyAlignment="1">
      <alignment horizontal="center" vertical="center" wrapText="1" readingOrder="1"/>
    </xf>
    <xf numFmtId="166" fontId="8" fillId="5" borderId="3" xfId="1" quotePrefix="1" applyNumberFormat="1" applyFont="1" applyBorder="1" applyAlignment="1">
      <alignment horizontal="center" vertical="center" wrapText="1" readingOrder="1"/>
    </xf>
    <xf numFmtId="168" fontId="1" fillId="3" borderId="3" xfId="2" quotePrefix="1" applyNumberFormat="1" applyFont="1" applyFill="1" applyBorder="1" applyAlignment="1">
      <alignment horizontal="center" vertical="center" wrapText="1" readingOrder="1"/>
    </xf>
    <xf numFmtId="0" fontId="1" fillId="3" borderId="7" xfId="0" quotePrefix="1" applyFont="1" applyFill="1" applyBorder="1" applyAlignment="1">
      <alignment horizontal="left" vertical="center" wrapText="1" readingOrder="1"/>
    </xf>
    <xf numFmtId="0" fontId="1" fillId="3" borderId="4" xfId="0" quotePrefix="1" applyFont="1" applyFill="1" applyBorder="1" applyAlignment="1">
      <alignment horizontal="left" vertical="center" wrapText="1" readingOrder="1"/>
    </xf>
    <xf numFmtId="0" fontId="1" fillId="3" borderId="6" xfId="0" quotePrefix="1" applyFont="1" applyFill="1" applyBorder="1" applyAlignment="1">
      <alignment horizontal="left" vertical="center" wrapText="1" readingOrder="1"/>
    </xf>
    <xf numFmtId="0" fontId="1" fillId="3" borderId="8"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cellXfs>
  <cellStyles count="4">
    <cellStyle name="Comma" xfId="2" builtinId="3"/>
    <cellStyle name="Comma 2" xfId="3" xr:uid="{7A26BF85-B7CA-4771-87F1-E241F59ADDC5}"/>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AA30"/>
  <sheetViews>
    <sheetView tabSelected="1" zoomScale="85" zoomScaleNormal="85" workbookViewId="0">
      <selection activeCell="P6" sqref="P6"/>
    </sheetView>
  </sheetViews>
  <sheetFormatPr defaultColWidth="9.140625" defaultRowHeight="14.45"/>
  <cols>
    <col min="1" max="1" width="13.7109375" customWidth="1"/>
    <col min="2" max="4" width="8.85546875" style="4"/>
    <col min="5" max="5" width="13.140625" style="4" customWidth="1"/>
    <col min="6" max="6" width="11.5703125" style="4" customWidth="1"/>
    <col min="7" max="7" width="11.140625" style="4" customWidth="1"/>
    <col min="8" max="8" width="20.7109375" style="4" customWidth="1"/>
    <col min="9" max="9" width="13.7109375" style="4" customWidth="1"/>
    <col min="10" max="10" width="13.85546875" style="4" customWidth="1"/>
    <col min="11" max="11" width="14.42578125" style="4" customWidth="1"/>
    <col min="12" max="12" width="10.140625" style="4" customWidth="1"/>
    <col min="13" max="13" width="9.140625" style="4" customWidth="1"/>
    <col min="14" max="14" width="12" style="4" customWidth="1"/>
    <col min="15" max="15" width="11.28515625" style="4" customWidth="1"/>
    <col min="16" max="16" width="33.42578125" style="4" customWidth="1"/>
    <col min="17" max="17" width="17.140625" style="4" customWidth="1"/>
    <col min="18" max="18" width="30.42578125" style="4" customWidth="1"/>
    <col min="19" max="19" width="12.42578125" style="4" customWidth="1"/>
    <col min="20" max="20" width="13.140625" style="4" customWidth="1"/>
    <col min="21" max="22" width="10.85546875" style="4" customWidth="1"/>
    <col min="23" max="23" width="16.28515625" style="4" customWidth="1"/>
    <col min="24" max="24" width="12.140625" style="4" bestFit="1" customWidth="1"/>
    <col min="25" max="25" width="13.5703125" style="4" customWidth="1"/>
    <col min="26" max="27" width="10.85546875" style="4" customWidth="1"/>
  </cols>
  <sheetData>
    <row r="1" spans="1:27" s="1" customFormat="1" ht="42.6" customHeight="1" thickBo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7" t="s">
        <v>18</v>
      </c>
      <c r="T1" s="7" t="s">
        <v>19</v>
      </c>
      <c r="U1" s="8" t="s">
        <v>20</v>
      </c>
      <c r="V1" s="8" t="s">
        <v>21</v>
      </c>
      <c r="W1" s="8" t="s">
        <v>22</v>
      </c>
      <c r="X1" s="8" t="s">
        <v>23</v>
      </c>
      <c r="Y1" s="7" t="s">
        <v>24</v>
      </c>
      <c r="Z1" s="7" t="s">
        <v>25</v>
      </c>
      <c r="AA1" s="7" t="s">
        <v>26</v>
      </c>
    </row>
    <row r="2" spans="1:27" s="1" customFormat="1" ht="45" customHeight="1" thickBot="1">
      <c r="A2" s="6" t="s">
        <v>27</v>
      </c>
      <c r="B2" s="6">
        <v>1</v>
      </c>
      <c r="C2" s="6" t="s">
        <v>28</v>
      </c>
      <c r="D2" s="6" t="s">
        <v>29</v>
      </c>
      <c r="E2" s="6" t="s">
        <v>30</v>
      </c>
      <c r="F2" s="9" t="s">
        <v>31</v>
      </c>
      <c r="G2" s="9" t="s">
        <v>32</v>
      </c>
      <c r="H2" s="14" t="s">
        <v>33</v>
      </c>
      <c r="I2" s="6" t="s">
        <v>34</v>
      </c>
      <c r="J2" s="6" t="s">
        <v>35</v>
      </c>
      <c r="K2" s="6" t="s">
        <v>36</v>
      </c>
      <c r="L2" s="9" t="s">
        <v>37</v>
      </c>
      <c r="M2" s="9" t="s">
        <v>38</v>
      </c>
      <c r="N2" s="6" t="s">
        <v>39</v>
      </c>
      <c r="O2" s="6" t="s">
        <v>40</v>
      </c>
      <c r="P2" s="12"/>
      <c r="Q2" s="16"/>
      <c r="R2" s="11"/>
      <c r="S2" s="9" t="s">
        <v>41</v>
      </c>
      <c r="T2" s="6" t="s">
        <v>42</v>
      </c>
      <c r="U2" s="9">
        <v>3796085</v>
      </c>
      <c r="V2" s="9">
        <v>15184340</v>
      </c>
      <c r="W2" s="5">
        <f>(0.0715-0.0865)*U2</f>
        <v>-56941.275000000001</v>
      </c>
      <c r="X2" s="5">
        <f>(0.0715-0.0865)*V2</f>
        <v>-227765.1</v>
      </c>
      <c r="Y2" s="9">
        <v>0</v>
      </c>
      <c r="Z2" s="6" t="s">
        <v>43</v>
      </c>
      <c r="AA2" s="10">
        <f>209091</f>
        <v>209091</v>
      </c>
    </row>
    <row r="3" spans="1:27" s="1" customFormat="1" ht="45" customHeight="1" thickBot="1">
      <c r="A3" s="28" t="s">
        <v>44</v>
      </c>
      <c r="B3" s="25">
        <v>2</v>
      </c>
      <c r="C3" s="6" t="s">
        <v>45</v>
      </c>
      <c r="D3" s="6" t="s">
        <v>29</v>
      </c>
      <c r="E3" s="6" t="s">
        <v>46</v>
      </c>
      <c r="F3" s="9" t="s">
        <v>47</v>
      </c>
      <c r="G3" s="9" t="s">
        <v>48</v>
      </c>
      <c r="H3" s="14" t="s">
        <v>49</v>
      </c>
      <c r="I3" s="6" t="s">
        <v>50</v>
      </c>
      <c r="J3" s="6" t="s">
        <v>51</v>
      </c>
      <c r="K3" s="6" t="s">
        <v>52</v>
      </c>
      <c r="L3" s="9" t="s">
        <v>53</v>
      </c>
      <c r="M3" s="9" t="s">
        <v>54</v>
      </c>
      <c r="N3" s="6" t="s">
        <v>55</v>
      </c>
      <c r="O3" s="6" t="s">
        <v>56</v>
      </c>
      <c r="P3" s="22"/>
      <c r="Q3" s="16"/>
      <c r="R3" s="11"/>
      <c r="S3" s="9" t="s">
        <v>57</v>
      </c>
      <c r="T3" s="6" t="s">
        <v>58</v>
      </c>
      <c r="U3" s="9">
        <v>136221</v>
      </c>
      <c r="V3" s="9">
        <v>1225988</v>
      </c>
      <c r="W3" s="5"/>
      <c r="X3" s="5"/>
      <c r="Y3" s="9"/>
      <c r="Z3" s="6"/>
      <c r="AA3" s="10"/>
    </row>
    <row r="4" spans="1:27" s="1" customFormat="1" ht="45" customHeight="1" thickBot="1">
      <c r="A4" s="29"/>
      <c r="B4" s="26"/>
      <c r="C4" s="6" t="s">
        <v>28</v>
      </c>
      <c r="D4" s="6" t="s">
        <v>29</v>
      </c>
      <c r="E4" s="6" t="s">
        <v>46</v>
      </c>
      <c r="F4" s="9" t="s">
        <v>47</v>
      </c>
      <c r="G4" s="9" t="s">
        <v>48</v>
      </c>
      <c r="H4" s="14" t="s">
        <v>59</v>
      </c>
      <c r="I4" s="6" t="s">
        <v>50</v>
      </c>
      <c r="J4" s="6" t="s">
        <v>51</v>
      </c>
      <c r="K4" s="6" t="s">
        <v>52</v>
      </c>
      <c r="L4" s="9" t="s">
        <v>53</v>
      </c>
      <c r="M4" s="9" t="s">
        <v>54</v>
      </c>
      <c r="N4" s="6" t="s">
        <v>60</v>
      </c>
      <c r="O4" s="6" t="s">
        <v>61</v>
      </c>
      <c r="P4" s="22"/>
      <c r="Q4" s="16"/>
      <c r="R4" s="11"/>
      <c r="S4" s="9" t="s">
        <v>57</v>
      </c>
      <c r="T4" s="6" t="s">
        <v>58</v>
      </c>
      <c r="U4" s="9">
        <v>189314</v>
      </c>
      <c r="V4" s="9">
        <v>1514508</v>
      </c>
      <c r="W4" s="5"/>
      <c r="X4" s="5"/>
      <c r="Y4" s="9"/>
      <c r="Z4" s="6"/>
      <c r="AA4" s="10"/>
    </row>
    <row r="5" spans="1:27" s="1" customFormat="1" ht="45" customHeight="1" thickBot="1">
      <c r="A5" s="29"/>
      <c r="B5" s="27"/>
      <c r="C5" s="6" t="s">
        <v>28</v>
      </c>
      <c r="D5" s="6" t="s">
        <v>29</v>
      </c>
      <c r="E5" s="6" t="s">
        <v>46</v>
      </c>
      <c r="F5" s="9" t="s">
        <v>47</v>
      </c>
      <c r="G5" s="9" t="s">
        <v>48</v>
      </c>
      <c r="H5" s="14" t="s">
        <v>62</v>
      </c>
      <c r="I5" s="6" t="s">
        <v>63</v>
      </c>
      <c r="J5" s="6" t="s">
        <v>64</v>
      </c>
      <c r="K5" s="6" t="s">
        <v>65</v>
      </c>
      <c r="L5" s="9" t="s">
        <v>53</v>
      </c>
      <c r="M5" s="9" t="s">
        <v>54</v>
      </c>
      <c r="N5" s="6" t="s">
        <v>66</v>
      </c>
      <c r="O5" s="6" t="s">
        <v>67</v>
      </c>
      <c r="P5" s="22" t="s">
        <v>68</v>
      </c>
      <c r="Q5" s="16"/>
      <c r="R5" s="11"/>
      <c r="S5" s="9" t="s">
        <v>69</v>
      </c>
      <c r="T5" s="6" t="s">
        <v>70</v>
      </c>
      <c r="U5" s="9">
        <v>165280</v>
      </c>
      <c r="V5" s="9">
        <v>1322241</v>
      </c>
      <c r="W5" s="5">
        <f>(10.65-9.35)*U5</f>
        <v>214864.00000000012</v>
      </c>
      <c r="X5" s="5">
        <f>(11.71-10.29)*V5</f>
        <v>1877582.2200000023</v>
      </c>
      <c r="Y5" s="9">
        <v>0</v>
      </c>
      <c r="Z5" s="6">
        <v>0</v>
      </c>
      <c r="AA5" s="10">
        <v>0</v>
      </c>
    </row>
    <row r="6" spans="1:27" s="1" customFormat="1" ht="45" customHeight="1" thickBot="1">
      <c r="A6" s="28" t="s">
        <v>71</v>
      </c>
      <c r="B6" s="6">
        <v>3</v>
      </c>
      <c r="C6" s="6" t="s">
        <v>45</v>
      </c>
      <c r="D6" s="15" t="s">
        <v>72</v>
      </c>
      <c r="E6" s="15" t="s">
        <v>73</v>
      </c>
      <c r="F6" s="9" t="s">
        <v>74</v>
      </c>
      <c r="G6" s="9" t="s">
        <v>75</v>
      </c>
      <c r="H6" s="14" t="s">
        <v>76</v>
      </c>
      <c r="I6" s="6" t="s">
        <v>77</v>
      </c>
      <c r="J6" s="6" t="s">
        <v>78</v>
      </c>
      <c r="K6" s="6" t="s">
        <v>79</v>
      </c>
      <c r="L6" s="9" t="s">
        <v>80</v>
      </c>
      <c r="M6" s="9" t="s">
        <v>81</v>
      </c>
      <c r="N6" s="6" t="s">
        <v>82</v>
      </c>
      <c r="O6" s="6" t="s">
        <v>83</v>
      </c>
      <c r="P6" s="18"/>
      <c r="Q6" s="16" t="s">
        <v>84</v>
      </c>
      <c r="R6" s="6"/>
      <c r="S6" s="19" t="s">
        <v>85</v>
      </c>
      <c r="T6" s="19" t="s">
        <v>86</v>
      </c>
      <c r="U6" s="9">
        <v>26801</v>
      </c>
      <c r="V6" s="9">
        <v>241206</v>
      </c>
      <c r="W6" s="20">
        <f>(0.2488-0.53)*U6</f>
        <v>-7536.4412000000002</v>
      </c>
      <c r="X6" s="20">
        <f>(0.2488-0.53)*V6</f>
        <v>-67827.127200000003</v>
      </c>
      <c r="Y6" s="9">
        <v>0</v>
      </c>
      <c r="Z6" s="6">
        <v>0</v>
      </c>
      <c r="AA6" s="10">
        <v>0</v>
      </c>
    </row>
    <row r="7" spans="1:27" s="1" customFormat="1" ht="45" customHeight="1" thickBot="1">
      <c r="A7" s="29" t="s">
        <v>71</v>
      </c>
      <c r="B7" s="6">
        <v>4</v>
      </c>
      <c r="C7" s="6" t="s">
        <v>45</v>
      </c>
      <c r="D7" s="15" t="s">
        <v>72</v>
      </c>
      <c r="E7" s="15" t="s">
        <v>73</v>
      </c>
      <c r="F7" s="9" t="s">
        <v>87</v>
      </c>
      <c r="G7" s="9" t="s">
        <v>75</v>
      </c>
      <c r="H7" s="14" t="s">
        <v>88</v>
      </c>
      <c r="I7" s="6" t="s">
        <v>89</v>
      </c>
      <c r="J7" s="6" t="s">
        <v>90</v>
      </c>
      <c r="K7" s="6" t="s">
        <v>79</v>
      </c>
      <c r="L7" s="9" t="s">
        <v>80</v>
      </c>
      <c r="M7" s="9" t="s">
        <v>81</v>
      </c>
      <c r="N7" s="6" t="s">
        <v>91</v>
      </c>
      <c r="O7" s="6" t="s">
        <v>92</v>
      </c>
      <c r="P7" s="18"/>
      <c r="Q7" s="16" t="s">
        <v>84</v>
      </c>
      <c r="R7" s="11"/>
      <c r="S7" s="9" t="s">
        <v>93</v>
      </c>
      <c r="T7" s="19" t="s">
        <v>86</v>
      </c>
      <c r="U7" s="9">
        <v>32756</v>
      </c>
      <c r="V7" s="9">
        <v>294806</v>
      </c>
      <c r="W7" s="20">
        <f>(0.2488-0.5)*U7</f>
        <v>-8228.3071999999993</v>
      </c>
      <c r="X7" s="20">
        <f>(0.2488-0.5)*V7</f>
        <v>-74055.267199999987</v>
      </c>
      <c r="Y7" s="21">
        <v>45000</v>
      </c>
      <c r="Z7" s="21">
        <v>27046</v>
      </c>
      <c r="AA7" s="17">
        <f>27046-45000</f>
        <v>-17954</v>
      </c>
    </row>
    <row r="8" spans="1:27" s="1" customFormat="1" ht="45" customHeight="1" thickBot="1">
      <c r="A8" s="29" t="s">
        <v>71</v>
      </c>
      <c r="B8" s="6">
        <v>5</v>
      </c>
      <c r="C8" s="6" t="s">
        <v>45</v>
      </c>
      <c r="D8" s="15" t="s">
        <v>72</v>
      </c>
      <c r="E8" s="15" t="s">
        <v>73</v>
      </c>
      <c r="F8" s="9" t="s">
        <v>87</v>
      </c>
      <c r="G8" s="9" t="s">
        <v>75</v>
      </c>
      <c r="H8" s="14" t="s">
        <v>94</v>
      </c>
      <c r="I8" s="6" t="s">
        <v>95</v>
      </c>
      <c r="J8" s="6" t="s">
        <v>96</v>
      </c>
      <c r="K8" s="6" t="s">
        <v>79</v>
      </c>
      <c r="L8" s="9" t="s">
        <v>80</v>
      </c>
      <c r="M8" s="9" t="s">
        <v>81</v>
      </c>
      <c r="N8" s="6" t="s">
        <v>83</v>
      </c>
      <c r="O8" s="6" t="s">
        <v>97</v>
      </c>
      <c r="P8" s="18"/>
      <c r="Q8" s="16" t="s">
        <v>84</v>
      </c>
      <c r="R8" s="11"/>
      <c r="S8" s="9" t="s">
        <v>98</v>
      </c>
      <c r="T8" s="9" t="s">
        <v>99</v>
      </c>
      <c r="U8" s="9">
        <v>198966</v>
      </c>
      <c r="V8" s="9">
        <v>1790698</v>
      </c>
      <c r="W8" s="20">
        <f>(0.2009-0.28)*U8</f>
        <v>-15738.210600000006</v>
      </c>
      <c r="X8" s="20">
        <f>(0.2009-0.28)*V8</f>
        <v>-141644.21180000005</v>
      </c>
      <c r="Y8" s="21">
        <v>70000</v>
      </c>
      <c r="Z8" s="21">
        <v>30884</v>
      </c>
      <c r="AA8" s="17">
        <f>30884-70000</f>
        <v>-39116</v>
      </c>
    </row>
    <row r="9" spans="1:27" s="1" customFormat="1" ht="79.900000000000006" customHeight="1" thickBot="1">
      <c r="A9" s="28" t="s">
        <v>71</v>
      </c>
      <c r="B9" s="6">
        <v>6</v>
      </c>
      <c r="C9" s="6" t="s">
        <v>45</v>
      </c>
      <c r="D9" s="15" t="s">
        <v>72</v>
      </c>
      <c r="E9" s="15" t="s">
        <v>73</v>
      </c>
      <c r="F9" s="9" t="s">
        <v>87</v>
      </c>
      <c r="G9" s="9" t="s">
        <v>75</v>
      </c>
      <c r="H9" s="14">
        <v>110000035429</v>
      </c>
      <c r="I9" s="6" t="s">
        <v>100</v>
      </c>
      <c r="J9" s="6" t="s">
        <v>101</v>
      </c>
      <c r="K9" s="6" t="s">
        <v>102</v>
      </c>
      <c r="L9" s="9" t="s">
        <v>103</v>
      </c>
      <c r="M9" s="9" t="s">
        <v>81</v>
      </c>
      <c r="N9" s="6" t="s">
        <v>104</v>
      </c>
      <c r="O9" s="6" t="s">
        <v>105</v>
      </c>
      <c r="P9" s="23" t="s">
        <v>106</v>
      </c>
      <c r="Q9" s="16" t="s">
        <v>107</v>
      </c>
      <c r="R9" s="11"/>
      <c r="S9" s="9" t="s">
        <v>108</v>
      </c>
      <c r="T9" s="9" t="s">
        <v>109</v>
      </c>
      <c r="U9" s="9">
        <v>74921</v>
      </c>
      <c r="V9" s="9">
        <v>674293</v>
      </c>
      <c r="W9" s="20">
        <f>(0.2014-0.6)*U9</f>
        <v>-29863.510599999998</v>
      </c>
      <c r="X9" s="20">
        <f>(0.2014-0.6)*V9</f>
        <v>-268773.18979999999</v>
      </c>
      <c r="Y9" s="21">
        <v>0</v>
      </c>
      <c r="Z9" s="21">
        <v>0</v>
      </c>
      <c r="AA9" s="17">
        <v>0</v>
      </c>
    </row>
    <row r="10" spans="1:27" s="1" customFormat="1" ht="79.900000000000006" customHeight="1" thickBot="1">
      <c r="A10" s="29" t="s">
        <v>71</v>
      </c>
      <c r="B10" s="6">
        <v>7</v>
      </c>
      <c r="C10" s="6" t="s">
        <v>45</v>
      </c>
      <c r="D10" s="15" t="s">
        <v>72</v>
      </c>
      <c r="E10" s="15" t="s">
        <v>73</v>
      </c>
      <c r="F10" s="9" t="s">
        <v>87</v>
      </c>
      <c r="G10" s="9" t="s">
        <v>75</v>
      </c>
      <c r="H10" s="14">
        <v>110000035432</v>
      </c>
      <c r="I10" s="6" t="s">
        <v>110</v>
      </c>
      <c r="J10" s="6" t="s">
        <v>111</v>
      </c>
      <c r="K10" s="6" t="s">
        <v>102</v>
      </c>
      <c r="L10" s="9" t="s">
        <v>103</v>
      </c>
      <c r="M10" s="9" t="s">
        <v>81</v>
      </c>
      <c r="N10" s="6" t="s">
        <v>112</v>
      </c>
      <c r="O10" s="6" t="s">
        <v>113</v>
      </c>
      <c r="P10" s="24"/>
      <c r="Q10" s="16" t="s">
        <v>107</v>
      </c>
      <c r="R10" s="11"/>
      <c r="S10" s="9" t="s">
        <v>108</v>
      </c>
      <c r="T10" s="9" t="s">
        <v>109</v>
      </c>
      <c r="U10" s="9">
        <v>61299</v>
      </c>
      <c r="V10" s="9">
        <v>551695</v>
      </c>
      <c r="W10" s="20">
        <f>(0.2014-0.6)*U10</f>
        <v>-24433.781399999996</v>
      </c>
      <c r="X10" s="20">
        <f>(0.2014-0.6)*V10</f>
        <v>-219905.62699999998</v>
      </c>
      <c r="Y10" s="21">
        <v>0</v>
      </c>
      <c r="Z10" s="21">
        <v>0</v>
      </c>
      <c r="AA10" s="17">
        <v>0</v>
      </c>
    </row>
    <row r="11" spans="1:27" s="1" customFormat="1" ht="45" customHeight="1" thickBot="1">
      <c r="B11" s="6"/>
      <c r="C11" s="6"/>
      <c r="D11" s="15"/>
      <c r="E11" s="15"/>
      <c r="F11" s="9"/>
      <c r="G11" s="9"/>
      <c r="H11" s="14"/>
      <c r="I11" s="6"/>
      <c r="J11" s="6"/>
      <c r="K11" s="6"/>
      <c r="L11" s="9"/>
      <c r="M11" s="9"/>
      <c r="N11" s="6"/>
      <c r="O11" s="6"/>
      <c r="P11" s="18"/>
      <c r="Q11" s="16"/>
      <c r="R11" s="6"/>
      <c r="S11" s="9"/>
      <c r="T11" s="9"/>
      <c r="U11" s="9"/>
      <c r="V11" s="9"/>
      <c r="W11" s="20"/>
      <c r="X11" s="20"/>
      <c r="Y11" s="9"/>
      <c r="Z11" s="6"/>
      <c r="AA11" s="17"/>
    </row>
    <row r="12" spans="1:27" s="1" customFormat="1" ht="45" customHeight="1" thickBot="1">
      <c r="B12" s="6"/>
      <c r="C12" s="6"/>
      <c r="D12" s="15"/>
      <c r="E12" s="15"/>
      <c r="F12" s="9"/>
      <c r="G12" s="9"/>
      <c r="H12" s="6"/>
      <c r="I12" s="6"/>
      <c r="J12" s="6"/>
      <c r="K12" s="6"/>
      <c r="L12" s="9"/>
      <c r="M12" s="9"/>
      <c r="N12" s="6"/>
      <c r="O12" s="6"/>
      <c r="P12" s="18"/>
      <c r="Q12" s="16"/>
      <c r="R12" s="6"/>
      <c r="S12" s="9"/>
      <c r="T12" s="9"/>
      <c r="U12" s="9"/>
      <c r="V12" s="9"/>
      <c r="W12" s="20"/>
      <c r="X12" s="20"/>
      <c r="Y12" s="9"/>
      <c r="Z12" s="9"/>
      <c r="AA12" s="17"/>
    </row>
    <row r="13" spans="1:27" s="1" customFormat="1" ht="45" customHeight="1" thickBot="1">
      <c r="B13" s="6"/>
      <c r="C13" s="6"/>
      <c r="D13" s="15"/>
      <c r="E13" s="15"/>
      <c r="F13" s="9"/>
      <c r="G13" s="9"/>
      <c r="H13" s="6"/>
      <c r="I13" s="6"/>
      <c r="J13" s="6"/>
      <c r="K13" s="6"/>
      <c r="L13" s="9"/>
      <c r="M13" s="9"/>
      <c r="N13" s="6"/>
      <c r="O13" s="6"/>
      <c r="P13" s="18"/>
      <c r="Q13" s="16"/>
      <c r="R13" s="11"/>
      <c r="S13" s="9"/>
      <c r="T13" s="9"/>
      <c r="U13" s="9"/>
      <c r="V13" s="9"/>
      <c r="W13" s="5"/>
      <c r="X13" s="5"/>
      <c r="Y13" s="9"/>
      <c r="Z13" s="9"/>
      <c r="AA13" s="17"/>
    </row>
    <row r="14" spans="1:27" s="1" customFormat="1" ht="46.9" customHeight="1" thickBot="1">
      <c r="B14" s="6"/>
      <c r="C14" s="6"/>
      <c r="D14" s="6"/>
      <c r="E14" s="6"/>
      <c r="F14" s="9"/>
      <c r="G14" s="9"/>
      <c r="H14" s="14"/>
      <c r="I14" s="6"/>
      <c r="J14" s="6"/>
      <c r="K14" s="6"/>
      <c r="L14" s="9"/>
      <c r="M14" s="9"/>
      <c r="N14" s="6"/>
      <c r="O14" s="6"/>
      <c r="P14" s="12"/>
      <c r="Q14" s="13"/>
      <c r="R14" s="11"/>
      <c r="S14" s="9"/>
      <c r="T14" s="6"/>
      <c r="U14" s="9"/>
      <c r="V14" s="9"/>
      <c r="W14" s="5"/>
      <c r="X14" s="5"/>
      <c r="Y14" s="9"/>
      <c r="Z14" s="6"/>
      <c r="AA14" s="10"/>
    </row>
    <row r="15" spans="1:27" s="1" customFormat="1" ht="42.6" customHeight="1">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s="1" customFormat="1" ht="42.6" customHeight="1">
      <c r="B16" s="3"/>
      <c r="C16" s="3"/>
      <c r="D16" s="3"/>
      <c r="E16" s="3"/>
      <c r="F16" s="3"/>
      <c r="G16" s="3"/>
      <c r="H16" s="3"/>
      <c r="I16" s="3"/>
      <c r="J16" s="3"/>
      <c r="K16" s="3"/>
      <c r="L16" s="3"/>
      <c r="M16" s="3"/>
      <c r="N16" s="3"/>
      <c r="O16" s="3"/>
      <c r="P16" s="3"/>
      <c r="Q16" s="3"/>
      <c r="R16" s="3"/>
      <c r="S16" s="3"/>
      <c r="T16" s="3"/>
      <c r="U16" s="3"/>
      <c r="V16" s="3"/>
      <c r="W16" s="3"/>
      <c r="X16" s="3"/>
      <c r="Y16" s="3"/>
      <c r="Z16" s="3"/>
      <c r="AA16" s="3"/>
    </row>
    <row r="17" spans="2:27" s="1" customFormat="1" ht="42.6" customHeight="1">
      <c r="B17" s="3"/>
      <c r="C17" s="3"/>
      <c r="D17" s="3"/>
      <c r="E17" s="3"/>
      <c r="F17" s="3"/>
      <c r="G17" s="3"/>
      <c r="H17" s="3"/>
      <c r="I17" s="3"/>
      <c r="J17" s="3"/>
      <c r="K17" s="3"/>
      <c r="L17" s="3"/>
      <c r="M17" s="3"/>
      <c r="N17" s="3"/>
      <c r="O17" s="3"/>
      <c r="P17" s="3"/>
      <c r="Q17" s="3"/>
      <c r="R17" s="3"/>
      <c r="S17" s="3"/>
      <c r="T17" s="3"/>
      <c r="U17" s="3"/>
      <c r="V17" s="3"/>
      <c r="W17" s="3"/>
      <c r="X17" s="3"/>
      <c r="Y17" s="3"/>
      <c r="Z17" s="3"/>
      <c r="AA17" s="3"/>
    </row>
    <row r="18" spans="2:27" s="1" customFormat="1" ht="42.6" customHeight="1">
      <c r="B18" s="3"/>
      <c r="C18" s="3"/>
      <c r="D18" s="3"/>
      <c r="E18" s="3"/>
      <c r="F18" s="3"/>
      <c r="G18" s="3"/>
      <c r="H18" s="3"/>
      <c r="I18" s="3"/>
      <c r="J18" s="3"/>
      <c r="K18" s="3"/>
      <c r="L18" s="3"/>
      <c r="M18" s="3"/>
      <c r="N18" s="3"/>
      <c r="O18" s="3"/>
      <c r="P18" s="3"/>
      <c r="Q18" s="3"/>
      <c r="R18" s="3"/>
      <c r="S18" s="3"/>
      <c r="T18" s="3"/>
      <c r="U18" s="3"/>
      <c r="V18" s="3"/>
      <c r="W18" s="3"/>
      <c r="X18" s="3"/>
      <c r="Y18" s="3"/>
      <c r="Z18" s="3"/>
      <c r="AA18" s="3"/>
    </row>
    <row r="19" spans="2:27" s="1" customFormat="1" ht="42.6" customHeight="1">
      <c r="B19" s="3"/>
      <c r="C19" s="3"/>
      <c r="D19" s="3"/>
      <c r="E19" s="3"/>
      <c r="F19" s="3"/>
      <c r="G19" s="3"/>
      <c r="H19" s="3"/>
      <c r="I19" s="3"/>
      <c r="J19" s="3"/>
      <c r="K19" s="3"/>
      <c r="L19" s="3"/>
      <c r="M19" s="3"/>
      <c r="N19" s="3"/>
      <c r="O19" s="3"/>
      <c r="P19" s="3"/>
      <c r="Q19" s="3"/>
      <c r="R19" s="3"/>
      <c r="S19" s="3"/>
      <c r="T19" s="3"/>
      <c r="U19" s="3"/>
      <c r="V19" s="3"/>
      <c r="W19" s="3"/>
      <c r="X19" s="3"/>
      <c r="Y19" s="3"/>
      <c r="Z19" s="3"/>
      <c r="AA19" s="3"/>
    </row>
    <row r="20" spans="2:27" s="1" customFormat="1" ht="42.6" customHeight="1">
      <c r="B20" s="3"/>
      <c r="C20" s="3"/>
      <c r="D20" s="3"/>
      <c r="E20" s="3"/>
      <c r="F20" s="3"/>
      <c r="G20" s="3"/>
      <c r="H20" s="3"/>
      <c r="I20" s="3"/>
      <c r="J20" s="3"/>
      <c r="K20" s="3"/>
      <c r="L20" s="3"/>
      <c r="M20" s="3"/>
      <c r="N20" s="3"/>
      <c r="O20" s="3"/>
      <c r="P20" s="3"/>
      <c r="Q20" s="3"/>
      <c r="R20" s="3"/>
      <c r="S20" s="3"/>
      <c r="T20" s="3"/>
      <c r="U20" s="3"/>
      <c r="V20" s="3"/>
      <c r="W20" s="3"/>
      <c r="X20" s="3"/>
      <c r="Y20" s="3"/>
      <c r="Z20" s="3"/>
      <c r="AA20" s="3"/>
    </row>
    <row r="21" spans="2:27" s="1" customFormat="1" ht="42.6" customHeight="1">
      <c r="B21" s="3"/>
      <c r="C21" s="3"/>
      <c r="D21" s="3"/>
      <c r="E21" s="3"/>
      <c r="F21" s="3"/>
      <c r="G21" s="3"/>
      <c r="H21" s="3"/>
      <c r="I21" s="3"/>
      <c r="J21" s="3"/>
      <c r="K21" s="3"/>
      <c r="L21" s="3"/>
      <c r="M21" s="3"/>
      <c r="N21" s="3"/>
      <c r="O21" s="3"/>
      <c r="P21" s="3"/>
      <c r="Q21" s="3"/>
      <c r="R21" s="3"/>
      <c r="S21" s="3"/>
      <c r="T21" s="3"/>
      <c r="U21" s="3"/>
      <c r="V21" s="3"/>
      <c r="W21" s="3"/>
      <c r="X21" s="3"/>
      <c r="Y21" s="3"/>
      <c r="Z21" s="3"/>
      <c r="AA21" s="3"/>
    </row>
    <row r="22" spans="2:27" s="1" customFormat="1" ht="42.6" customHeight="1">
      <c r="B22" s="3"/>
      <c r="C22" s="3"/>
      <c r="D22" s="3"/>
      <c r="E22" s="3"/>
      <c r="F22" s="3"/>
      <c r="G22" s="3"/>
      <c r="H22" s="3"/>
      <c r="I22" s="3"/>
      <c r="J22" s="3"/>
      <c r="K22" s="3"/>
      <c r="L22" s="3"/>
      <c r="M22" s="3"/>
      <c r="N22" s="3"/>
      <c r="O22" s="3"/>
      <c r="P22" s="3"/>
      <c r="Q22" s="3"/>
      <c r="R22" s="3"/>
      <c r="S22" s="3"/>
      <c r="T22" s="3"/>
      <c r="U22" s="3"/>
      <c r="V22" s="3"/>
      <c r="W22" s="3"/>
      <c r="X22" s="3"/>
      <c r="Y22" s="3"/>
      <c r="Z22" s="3"/>
      <c r="AA22" s="3"/>
    </row>
    <row r="23" spans="2:27" s="1" customFormat="1" ht="42.6" customHeight="1">
      <c r="B23" s="3"/>
      <c r="C23" s="3"/>
      <c r="D23" s="3"/>
      <c r="E23" s="3"/>
      <c r="F23" s="3"/>
      <c r="G23" s="3"/>
      <c r="H23" s="3"/>
      <c r="I23" s="3"/>
      <c r="J23" s="3"/>
      <c r="K23" s="3"/>
      <c r="L23" s="3"/>
      <c r="M23" s="3"/>
      <c r="N23" s="3"/>
      <c r="O23" s="3"/>
      <c r="P23" s="3"/>
      <c r="Q23" s="3"/>
      <c r="R23" s="3"/>
      <c r="S23" s="3"/>
      <c r="T23" s="3"/>
      <c r="U23" s="3"/>
      <c r="V23" s="3"/>
      <c r="W23" s="3"/>
      <c r="X23" s="3"/>
      <c r="Y23" s="3"/>
      <c r="Z23" s="3"/>
      <c r="AA23" s="3"/>
    </row>
    <row r="24" spans="2:27" s="1" customFormat="1" ht="42.6" customHeight="1">
      <c r="B24" s="3"/>
      <c r="C24" s="3"/>
      <c r="D24" s="3"/>
      <c r="E24" s="3"/>
      <c r="F24" s="3"/>
      <c r="G24" s="3"/>
      <c r="H24" s="3"/>
      <c r="I24" s="3"/>
      <c r="J24" s="3"/>
      <c r="K24" s="3"/>
      <c r="L24" s="3"/>
      <c r="M24" s="3"/>
      <c r="N24" s="3"/>
      <c r="O24" s="3"/>
      <c r="P24" s="3"/>
      <c r="Q24" s="3"/>
      <c r="R24" s="3"/>
      <c r="S24" s="3"/>
      <c r="T24" s="3"/>
      <c r="U24" s="3"/>
      <c r="V24" s="3"/>
      <c r="W24" s="3"/>
      <c r="X24" s="3"/>
      <c r="Y24" s="3"/>
      <c r="Z24" s="3"/>
      <c r="AA24" s="3"/>
    </row>
    <row r="25" spans="2:27" s="1" customFormat="1" ht="42.6" customHeight="1">
      <c r="B25" s="3"/>
      <c r="C25" s="3"/>
      <c r="D25" s="3"/>
      <c r="E25" s="3"/>
      <c r="F25" s="3"/>
      <c r="G25" s="3"/>
      <c r="H25" s="3"/>
      <c r="I25" s="3"/>
      <c r="J25" s="3"/>
      <c r="K25" s="3"/>
      <c r="L25" s="3"/>
      <c r="M25" s="3"/>
      <c r="N25" s="3"/>
      <c r="O25" s="3"/>
      <c r="P25" s="3"/>
      <c r="Q25" s="3"/>
      <c r="R25" s="3"/>
      <c r="S25" s="3"/>
      <c r="T25" s="3"/>
      <c r="U25" s="3"/>
      <c r="V25" s="3"/>
      <c r="W25" s="3"/>
      <c r="X25" s="3"/>
      <c r="Y25" s="3"/>
      <c r="Z25" s="3"/>
      <c r="AA25" s="3"/>
    </row>
    <row r="26" spans="2:27" s="1" customFormat="1" ht="42.6" customHeight="1">
      <c r="B26" s="3"/>
      <c r="C26" s="3"/>
      <c r="D26" s="3"/>
      <c r="E26" s="3"/>
      <c r="F26" s="3"/>
      <c r="G26" s="3"/>
      <c r="H26" s="3"/>
      <c r="I26" s="3"/>
      <c r="J26" s="3"/>
      <c r="K26" s="3"/>
      <c r="L26" s="3"/>
      <c r="M26" s="3"/>
      <c r="N26" s="3"/>
      <c r="O26" s="3"/>
      <c r="P26" s="3"/>
      <c r="Q26" s="3"/>
      <c r="R26" s="3"/>
      <c r="S26" s="3"/>
      <c r="T26" s="3"/>
      <c r="U26" s="3"/>
      <c r="V26" s="3"/>
      <c r="W26" s="3"/>
      <c r="X26" s="3"/>
      <c r="Y26" s="3"/>
      <c r="Z26" s="3"/>
      <c r="AA26" s="3"/>
    </row>
    <row r="27" spans="2:27" s="1" customFormat="1" ht="42.6" customHeight="1">
      <c r="B27" s="3"/>
      <c r="C27" s="3"/>
      <c r="D27" s="3"/>
      <c r="E27" s="3"/>
      <c r="F27" s="3"/>
      <c r="G27" s="3"/>
      <c r="H27" s="3"/>
      <c r="I27" s="3"/>
      <c r="J27" s="3"/>
      <c r="K27" s="3"/>
      <c r="L27" s="3"/>
      <c r="M27" s="3"/>
      <c r="N27" s="3"/>
      <c r="O27" s="3"/>
      <c r="P27" s="3"/>
      <c r="Q27" s="3"/>
      <c r="R27" s="3"/>
      <c r="S27" s="3"/>
      <c r="T27" s="3"/>
      <c r="U27" s="3"/>
      <c r="V27" s="3"/>
      <c r="W27" s="3"/>
      <c r="X27" s="3"/>
      <c r="Y27" s="3"/>
      <c r="Z27" s="3"/>
      <c r="AA27" s="3"/>
    </row>
    <row r="28" spans="2:27" s="1" customFormat="1" ht="42.6" customHeight="1">
      <c r="B28" s="3"/>
      <c r="C28" s="3"/>
      <c r="D28" s="3"/>
      <c r="E28" s="3"/>
      <c r="F28" s="3"/>
      <c r="G28" s="3"/>
      <c r="H28" s="3"/>
      <c r="I28" s="3"/>
      <c r="J28" s="3"/>
      <c r="K28" s="3"/>
      <c r="L28" s="3"/>
      <c r="M28" s="3"/>
      <c r="N28" s="3"/>
      <c r="O28" s="3"/>
      <c r="P28" s="3"/>
      <c r="Q28" s="3"/>
      <c r="R28" s="3"/>
      <c r="S28" s="3"/>
      <c r="T28" s="3"/>
      <c r="U28" s="3"/>
      <c r="V28" s="3"/>
      <c r="W28" s="3"/>
      <c r="X28" s="3"/>
      <c r="Y28" s="3"/>
      <c r="Z28" s="3"/>
      <c r="AA28" s="3"/>
    </row>
    <row r="29" spans="2:27" s="1" customFormat="1" ht="42.6" customHeight="1">
      <c r="B29" s="3"/>
      <c r="C29" s="3"/>
      <c r="D29" s="3"/>
      <c r="E29" s="3"/>
      <c r="F29" s="3"/>
      <c r="G29" s="3"/>
      <c r="H29" s="3"/>
      <c r="I29" s="3"/>
      <c r="J29" s="3"/>
      <c r="K29" s="3"/>
      <c r="L29" s="3"/>
      <c r="M29" s="3"/>
      <c r="N29" s="3"/>
      <c r="O29" s="3"/>
      <c r="P29" s="3"/>
      <c r="Q29" s="3"/>
      <c r="R29" s="3"/>
      <c r="S29" s="3"/>
      <c r="T29" s="3"/>
      <c r="U29" s="3"/>
      <c r="V29" s="3"/>
      <c r="W29" s="3"/>
      <c r="X29" s="3"/>
      <c r="Y29" s="3"/>
      <c r="Z29" s="3"/>
      <c r="AA29" s="3"/>
    </row>
    <row r="30" spans="2:27" s="1" customFormat="1" ht="42.6" customHeight="1">
      <c r="B30" s="3"/>
      <c r="C30" s="3"/>
      <c r="D30" s="3"/>
      <c r="E30" s="3"/>
      <c r="F30" s="3"/>
      <c r="G30" s="3"/>
      <c r="H30" s="3"/>
      <c r="I30" s="3"/>
      <c r="J30" s="3"/>
      <c r="K30" s="3"/>
      <c r="L30" s="3"/>
      <c r="M30" s="3"/>
      <c r="N30" s="3"/>
      <c r="O30" s="3"/>
      <c r="P30" s="3"/>
      <c r="Q30" s="3"/>
      <c r="R30" s="3"/>
      <c r="S30" s="3"/>
      <c r="T30" s="3"/>
      <c r="U30" s="3"/>
      <c r="V30" s="3"/>
      <c r="W30" s="3"/>
      <c r="X30" s="3"/>
      <c r="Y30" s="3"/>
      <c r="Z30" s="3"/>
      <c r="AA30" s="3"/>
    </row>
  </sheetData>
  <mergeCells count="5">
    <mergeCell ref="P9:P10"/>
    <mergeCell ref="B3:B5"/>
    <mergeCell ref="A3:A5"/>
    <mergeCell ref="A6:A8"/>
    <mergeCell ref="A9:A10"/>
  </mergeCells>
  <phoneticPr fontId="6" type="noConversion"/>
  <conditionalFormatting sqref="W1 AA1:AA1048576">
    <cfRule type="cellIs" dxfId="4" priority="19" operator="lessThan">
      <formula>0</formula>
    </cfRule>
  </conditionalFormatting>
  <conditionalFormatting sqref="W15:W1048576">
    <cfRule type="cellIs" dxfId="3" priority="90" operator="lessThan">
      <formula>0</formula>
    </cfRule>
  </conditionalFormatting>
  <conditionalFormatting sqref="W2:X14">
    <cfRule type="cellIs" dxfId="2" priority="1" operator="greaterThan">
      <formula>0</formula>
    </cfRule>
    <cfRule type="cellIs" dxfId="1" priority="2" operator="lessThan">
      <formula>0</formula>
    </cfRule>
  </conditionalFormatting>
  <conditionalFormatting sqref="AA2:AA14">
    <cfRule type="cellIs" dxfId="0" priority="3"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2AE94798D0E7D4487CB84FC9A87565D" ma:contentTypeVersion="10" ma:contentTypeDescription="Create a new document." ma:contentTypeScope="" ma:versionID="43578f701e86689ec676730cb0ad04f6">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8ca8914e6833cdc63204807a2b0cd05"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CF806B-2D1E-46DA-8658-3B20ABBC67F5}"/>
</file>

<file path=customXml/itemProps2.xml><?xml version="1.0" encoding="utf-8"?>
<ds:datastoreItem xmlns:ds="http://schemas.openxmlformats.org/officeDocument/2006/customXml" ds:itemID="{4BF22384-DAFA-4D0D-80F2-DF08F2701BCA}"/>
</file>

<file path=customXml/itemProps3.xml><?xml version="1.0" encoding="utf-8"?>
<ds:datastoreItem xmlns:ds="http://schemas.openxmlformats.org/officeDocument/2006/customXml" ds:itemID="{279638AD-BA1B-4FC8-BFE6-633E5782B1D8}"/>
</file>

<file path=docProps/app.xml><?xml version="1.0" encoding="utf-8"?>
<Properties xmlns="http://schemas.openxmlformats.org/officeDocument/2006/extended-properties" xmlns:vt="http://schemas.openxmlformats.org/officeDocument/2006/docPropsVTypes">
  <Application>Microsoft Excel Online</Application>
  <Manager/>
  <Company>RVNA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Xiangwei Chen ALF RPSBE1</dc:creator>
  <cp:keywords/>
  <dc:description/>
  <cp:lastModifiedBy>William Shorter WSH ROSBN</cp:lastModifiedBy>
  <cp:revision/>
  <dcterms:created xsi:type="dcterms:W3CDTF">2025-09-02T13:26:50Z</dcterms:created>
  <dcterms:modified xsi:type="dcterms:W3CDTF">2026-09-09T12:16:01Z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y fmtid="{D5CDD505-2E9C-101B-9397-08002B2CF9AE}" pid="11" name="MediaServiceImageTags">
    <vt:lpwstr/>
  </property>
</Properties>
</file>