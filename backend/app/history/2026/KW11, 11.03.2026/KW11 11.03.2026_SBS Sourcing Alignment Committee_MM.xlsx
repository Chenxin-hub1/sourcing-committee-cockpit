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11, 11.03.2026/"/>
    </mc:Choice>
  </mc:AlternateContent>
  <xr:revisionPtr revIDLastSave="71" documentId="8_{DB8D6D36-3206-47B7-AD9A-7D368C4A5CA0}" xr6:coauthVersionLast="47" xr6:coauthVersionMax="47" xr10:uidLastSave="{D6F0A0E9-26B9-41F2-AE51-8B57707C9F83}"/>
  <bookViews>
    <workbookView xWindow="-108" yWindow="-108" windowWidth="23256" windowHeight="12456" xr2:uid="{00000000-000D-0000-FFFF-FFFF00000000}"/>
  </bookViews>
  <sheets>
    <sheet name="KW44, 2025"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4" l="1"/>
  <c r="V4" i="4"/>
  <c r="W3" i="4"/>
  <c r="V3" i="4"/>
  <c r="W2" i="4"/>
  <c r="V2" i="4"/>
  <c r="W6" i="4"/>
  <c r="V6" i="4"/>
  <c r="V5" i="4" l="1"/>
  <c r="W5" i="4" l="1"/>
  <c r="Z5" i="4"/>
  <c r="Z6" i="4"/>
</calcChain>
</file>

<file path=xl/sharedStrings.xml><?xml version="1.0" encoding="utf-8"?>
<sst xmlns="http://schemas.openxmlformats.org/spreadsheetml/2006/main" count="96" uniqueCount="72">
  <si>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</si>
  <si>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</si>
  <si>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</si>
  <si>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</si>
  <si>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</si>
  <si>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</si>
  <si>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</si>
  <si>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</si>
  <si>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</si>
  <si>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</si>
  <si>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</si>
  <si>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</si>
  <si>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</si>
  <si>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</si>
  <si>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</si>
  <si>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</si>
  <si>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</si>
  <si>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</si>
  <si>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</si>
  <si>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</si>
  <si>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</si>
  <si>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</si>
  <si>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</si>
  <si>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</si>
  <si>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</si>
  <si>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</si>
  <si>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NA</t>
  </si>
  <si>
    <t>Daria Wągiel</t>
  </si>
  <si>
    <t>Carbosint S.p.a.</t>
  </si>
  <si>
    <t>GCS</t>
  </si>
  <si>
    <t>FF04009</t>
  </si>
  <si>
    <t>FF04010</t>
  </si>
  <si>
    <t>33048354C</t>
  </si>
  <si>
    <t>33048355C</t>
  </si>
  <si>
    <t xml:space="preserve">Cutter </t>
  </si>
  <si>
    <t>NEW</t>
  </si>
  <si>
    <t>Wire forming</t>
  </si>
  <si>
    <t>SC03002</t>
  </si>
  <si>
    <t xml:space="preserve">HOUSING, RETR. SPRING CASSETE UNIT </t>
  </si>
  <si>
    <t>Violeta Beltran del Rio</t>
  </si>
  <si>
    <t>SPR4.1</t>
  </si>
  <si>
    <t>B/2025/00227
110000032753</t>
  </si>
  <si>
    <t>B/2025/00227
110000032752</t>
  </si>
  <si>
    <t>257K Euro</t>
  </si>
  <si>
    <t>1.03 Mio Euro</t>
  </si>
  <si>
    <t>B/2026/00021
110000033857</t>
  </si>
  <si>
    <t>SPR6.1, 
GM C1UC/UL2</t>
  </si>
  <si>
    <t>R000H768A</t>
  </si>
  <si>
    <t xml:space="preserve"> &amp; R000H767A </t>
  </si>
  <si>
    <t xml:space="preserve">Kern Liebers MX Monterrey </t>
  </si>
  <si>
    <t>L3</t>
  </si>
  <si>
    <t>L2</t>
  </si>
  <si>
    <t>61K Euro
67K USD</t>
  </si>
  <si>
    <t>367K Euro
404K USD</t>
  </si>
  <si>
    <t>0,5051 Euro/pc
0,5564 USD/pc</t>
  </si>
  <si>
    <t>0,6247 Euro/pc
0,6871 USD/pc</t>
  </si>
  <si>
    <t>B/2026/00021
110000031362</t>
  </si>
  <si>
    <t>Powder Metal</t>
  </si>
  <si>
    <t>SPR6.1, 
NCAR, T1 SUV, T2 SUV</t>
  </si>
  <si>
    <t>608K Euro
668K USD</t>
  </si>
  <si>
    <t>4,6 Mio Euro
5,0 Mio USD</t>
  </si>
  <si>
    <t>60,000 Euro
66,000 USD</t>
  </si>
  <si>
    <t>SPR6.1, 
Rivian R2</t>
  </si>
  <si>
    <t>B/2026/00021
110000031179</t>
  </si>
  <si>
    <t>249K Euro
274K USD</t>
  </si>
  <si>
    <t>1.4 Mio Euro
1.6 Mio USD</t>
  </si>
  <si>
    <t>To follow up with actions</t>
  </si>
  <si>
    <t>1. To varify details of the logistic cost ALF-MX provided by Kern Liebers, which includs oversea packaging and sea freight. Ca. 0,12 USD, almost same cost as the part. against ZF LT ALF transportation cost?-- PM Thomas to support
Packaging considered: bag, bulk pack already.
2. To approach Marlon´s CH CM team to support searching for competitive local NA buffer disc supplier. -- PP Mario
Supplier must prove themselves USMCA eligiable.
3. Investment of 66K USD each needed for DMC requirement, to share the quote to PM Thomas. --CM Violeta
4. MBEAL NA addtional 300k pcs average year  volume to be further considered, to run convention. -- CM, PP Dawid</t>
  </si>
  <si>
    <t>Approved</t>
  </si>
  <si>
    <t>1.Resourcing from current supplier Schunk to Carbosint, price increase mitigation.
2. Carbosint already deliveres these parts to EU
3. CCB 1 &amp; 2 approved, decision: no customer information. 
An approved validation plan for NA to be considered for the change.</t>
  </si>
  <si>
    <t>1. To refresh FG assessment with support of FRA team. Current FG: CCC.-- CM Daria
2. To kickoff after HO complete from VAVE team to PM.
Tooling existing, just need to order parts for testing. -- PM Thomas to coordinate with VAVE.</t>
  </si>
  <si>
    <t xml:space="preserve">1. Tooling budget aligned
2. Restriction of plastic parts, buffer disc
a. Team worked several weeks with local supplier Camtek, they declined after that, not feasible.
NA chemical suppliers can not compete with ALF landed price.
b. Eclipse more expensive than ALF.
c. Considering imported buffer disc from ALF-Assy level still not USMCA eligiable.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</si>
</sst>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0\ [$EUR]"/>
    <numFmt numFmtId="165" formatCode="#,##0.0000\ [$EUR]"/>
    <numFmt numFmtId="166" formatCode="_(&quot;$&quot;* #,##0_);_(&quot;$&quot;* \(#,##0\);_(&quot;$&quot;* &quot;-&quot;??_);_(@_)"/>
    <numFmt numFmtId="167" formatCode="_(&quot;$&quot;* #,##0.000_);_(&quot;$&quot;* \(#,##0.000\);_(&quot;$&quot;* &quot;-&quot;??_);_(@_)"/>
    <numFmt numFmtId="168" formatCode="#,##0;[Red]#,##0"/>
  </numFmts>
  <fonts count="8" x14ac:knownFonts="1">
    <font>
      <sz val="11"/>
      <color theme="1"/>
      <name val="Calibri"/>
      <family val="2"/>
      <scheme val="minor"/>
    </font>
    <font>
      <sz val="8"/>
      <color rgb="FF000000"/>
      <name val="Arial"/>
      <family val="2"/>
    </font>
    <font>
      <b/>
      <sz val="8"/>
      <color rgb="FFFFFFFF"/>
      <name val="Arial"/>
      <family val="2"/>
    </font>
    <font>
      <sz val="8"/>
      <name val="Calibri"/>
      <family val="2"/>
      <scheme val="minor"/>
    </font>
    <font>
      <sz val="11"/>
      <color theme="1"/>
      <name val="Calibri"/>
      <family val="2"/>
      <scheme val="minor"/>
    </font>
    <font>
      <b/>
      <sz val="8"/>
      <color theme="9"/>
      <name val="Arial"/>
      <family val="2"/>
    </font>
    <font>
      <b/>
      <sz val="8"/>
      <color rgb="FFFF0000"/>
      <name val="Arial"/>
      <family val="2"/>
    </font>
    <font>
      <b/>
      <sz val="8"/>
      <color rgb="FF00B050"/>
      <name val="Arial"/>
      <family val="2"/>
    </font>
  </fonts>
  <fills count="5">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s>
  <borders count="15">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style="medium">
        <color theme="0"/>
      </top>
      <bottom/>
      <diagonal/>
    </border>
    <border>
      <left style="medium">
        <color rgb="FFFFFFFF"/>
      </left>
      <right style="medium">
        <color theme="0"/>
      </right>
      <top style="medium">
        <color theme="0"/>
      </top>
      <bottom/>
      <diagonal/>
    </border>
    <border>
      <left style="medium">
        <color rgb="FFFFFFFF"/>
      </left>
      <right style="medium">
        <color theme="0"/>
      </right>
      <top/>
      <bottom/>
      <diagonal/>
    </border>
    <border>
      <left style="medium">
        <color rgb="FFFFFFFF"/>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s>
  <cellStyleXfs count="2">
    <xf numFmtId="0" fontId="0" fillId="0" borderId="0"/>
    <xf numFmtId="44" fontId="4" fillId="0" borderId="0" applyFont="0" applyFill="0" applyBorder="0" applyAlignment="0" applyProtection="0"/>
  </cellStyleXfs>
  <cellXfs count="44">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3" fontId="1" fillId="3" borderId="3" xfId="0" quotePrefix="1" applyNumberFormat="1" applyFont="1" applyFill="1" applyBorder="1" applyAlignment="1">
      <alignment horizontal="left" vertical="center" wrapText="1" readingOrder="1"/>
    </xf>
    <xf numFmtId="164" fontId="1" fillId="3" borderId="3" xfId="0" quotePrefix="1" applyNumberFormat="1" applyFont="1" applyFill="1" applyBorder="1" applyAlignment="1">
      <alignment horizontal="left" vertical="center" wrapText="1" readingOrder="1"/>
    </xf>
    <xf numFmtId="0" fontId="2" fillId="4" borderId="1" xfId="0" applyFont="1" applyFill="1" applyBorder="1" applyAlignment="1">
      <alignment horizontal="left" vertical="center" wrapText="1" readingOrder="1"/>
    </xf>
    <xf numFmtId="0" fontId="2" fillId="4" borderId="2" xfId="0" applyFont="1" applyFill="1" applyBorder="1" applyAlignment="1">
      <alignment horizontal="left" vertical="center" wrapText="1" readingOrder="1"/>
    </xf>
    <xf numFmtId="0" fontId="1" fillId="3" borderId="3" xfId="0" quotePrefix="1" applyFont="1" applyFill="1" applyBorder="1" applyAlignment="1">
      <alignment horizontal="center" vertical="center" wrapText="1" readingOrder="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0" fontId="2" fillId="2" borderId="1" xfId="0"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0" fillId="0" borderId="0" xfId="0" applyAlignment="1">
      <alignment horizontal="left" wrapText="1"/>
    </xf>
    <xf numFmtId="0" fontId="0" fillId="0" borderId="0" xfId="0" applyAlignment="1">
      <alignment horizontal="left"/>
    </xf>
    <xf numFmtId="1" fontId="1" fillId="3" borderId="3" xfId="0" quotePrefix="1" applyNumberFormat="1" applyFont="1" applyFill="1" applyBorder="1" applyAlignment="1">
      <alignment horizontal="left" vertical="center" wrapText="1" readingOrder="1"/>
    </xf>
    <xf numFmtId="0" fontId="1" fillId="3" borderId="6" xfId="0" quotePrefix="1" applyFont="1" applyFill="1" applyBorder="1" applyAlignment="1">
      <alignment horizontal="left" vertical="center" wrapText="1" readingOrder="1"/>
    </xf>
    <xf numFmtId="165" fontId="1" fillId="3" borderId="3" xfId="0" quotePrefix="1" applyNumberFormat="1" applyFont="1" applyFill="1" applyBorder="1" applyAlignment="1">
      <alignment horizontal="left" vertical="center" wrapText="1" readingOrder="1"/>
    </xf>
    <xf numFmtId="166" fontId="1" fillId="3" borderId="3" xfId="1" quotePrefix="1" applyNumberFormat="1" applyFont="1" applyFill="1" applyBorder="1" applyAlignment="1">
      <alignment horizontal="center" vertical="center" wrapText="1" readingOrder="1"/>
    </xf>
    <xf numFmtId="167" fontId="1" fillId="3" borderId="3" xfId="1" quotePrefix="1" applyNumberFormat="1" applyFont="1" applyFill="1" applyBorder="1" applyAlignment="1">
      <alignment horizontal="center" vertical="center" wrapText="1" readingOrder="1"/>
    </xf>
    <xf numFmtId="168" fontId="1" fillId="3" borderId="3" xfId="1" quotePrefix="1" applyNumberFormat="1" applyFont="1" applyFill="1" applyBorder="1" applyAlignment="1">
      <alignment horizontal="left" vertical="center" wrapText="1" readingOrder="1"/>
    </xf>
    <xf numFmtId="0" fontId="1" fillId="3" borderId="9" xfId="0" quotePrefix="1" applyFont="1" applyFill="1" applyBorder="1" applyAlignment="1">
      <alignment horizontal="left" vertical="top" wrapText="1" readingOrder="1"/>
    </xf>
    <xf numFmtId="0" fontId="1" fillId="3" borderId="10" xfId="0" quotePrefix="1" applyFont="1" applyFill="1" applyBorder="1" applyAlignment="1">
      <alignment horizontal="left" vertical="top" wrapText="1" readingOrder="1"/>
    </xf>
    <xf numFmtId="0" fontId="1" fillId="3" borderId="11" xfId="0" quotePrefix="1" applyFont="1" applyFill="1" applyBorder="1" applyAlignment="1">
      <alignment horizontal="left" vertical="top" wrapText="1" readingOrder="1"/>
    </xf>
    <xf numFmtId="49" fontId="1" fillId="3" borderId="9" xfId="1" quotePrefix="1" applyNumberFormat="1" applyFont="1" applyFill="1" applyBorder="1" applyAlignment="1">
      <alignment horizontal="left" vertical="top" wrapText="1" readingOrder="1"/>
    </xf>
    <xf numFmtId="49" fontId="1" fillId="3" borderId="10" xfId="1" quotePrefix="1" applyNumberFormat="1" applyFont="1" applyFill="1" applyBorder="1" applyAlignment="1">
      <alignment horizontal="left" vertical="top" wrapText="1" readingOrder="1"/>
    </xf>
    <xf numFmtId="49" fontId="1" fillId="3" borderId="11" xfId="1" quotePrefix="1" applyNumberFormat="1" applyFont="1" applyFill="1" applyBorder="1" applyAlignment="1">
      <alignment horizontal="left" vertical="top" wrapText="1" readingOrder="1"/>
    </xf>
    <xf numFmtId="0" fontId="6" fillId="3" borderId="12" xfId="0" quotePrefix="1" applyFont="1" applyFill="1" applyBorder="1" applyAlignment="1">
      <alignment horizontal="center" vertical="center" wrapText="1" readingOrder="1"/>
    </xf>
    <xf numFmtId="0" fontId="5" fillId="3" borderId="13" xfId="0" quotePrefix="1" applyFont="1" applyFill="1" applyBorder="1" applyAlignment="1">
      <alignment horizontal="center" vertical="center" wrapText="1" readingOrder="1"/>
    </xf>
    <xf numFmtId="0" fontId="5" fillId="3" borderId="14" xfId="0" quotePrefix="1" applyFont="1" applyFill="1" applyBorder="1" applyAlignment="1">
      <alignment horizontal="center" vertical="center" wrapText="1" readingOrder="1"/>
    </xf>
    <xf numFmtId="3" fontId="1" fillId="3" borderId="8" xfId="0" quotePrefix="1" applyNumberFormat="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3" fontId="1" fillId="3" borderId="4" xfId="0" quotePrefix="1" applyNumberFormat="1" applyFont="1" applyFill="1" applyBorder="1" applyAlignment="1">
      <alignment horizontal="center" vertical="center" wrapText="1" readingOrder="1"/>
    </xf>
    <xf numFmtId="0" fontId="1" fillId="3" borderId="7" xfId="0" quotePrefix="1" applyFont="1" applyFill="1" applyBorder="1" applyAlignment="1">
      <alignment horizontal="left" vertical="center" wrapText="1" readingOrder="1"/>
    </xf>
    <xf numFmtId="0" fontId="1" fillId="3" borderId="4" xfId="0" quotePrefix="1" applyFont="1" applyFill="1" applyBorder="1" applyAlignment="1">
      <alignment horizontal="left" vertical="center" wrapText="1" readingOrder="1"/>
    </xf>
    <xf numFmtId="0" fontId="1" fillId="3" borderId="8" xfId="0" quotePrefix="1" applyFont="1" applyFill="1" applyBorder="1" applyAlignment="1">
      <alignment horizontal="left" vertical="center" wrapText="1" readingOrder="1"/>
    </xf>
    <xf numFmtId="3" fontId="1" fillId="3" borderId="9" xfId="0" quotePrefix="1" applyNumberFormat="1" applyFont="1" applyFill="1" applyBorder="1" applyAlignment="1">
      <alignment horizontal="left" vertical="center" wrapText="1" readingOrder="1"/>
    </xf>
    <xf numFmtId="3" fontId="1" fillId="3" borderId="10" xfId="0" quotePrefix="1" applyNumberFormat="1" applyFont="1" applyFill="1" applyBorder="1" applyAlignment="1">
      <alignment horizontal="left" vertical="center" wrapText="1" readingOrder="1"/>
    </xf>
    <xf numFmtId="3" fontId="1" fillId="3" borderId="11" xfId="0" quotePrefix="1" applyNumberFormat="1" applyFont="1" applyFill="1" applyBorder="1" applyAlignment="1">
      <alignment horizontal="left" vertical="center" wrapText="1" readingOrder="1"/>
    </xf>
    <xf numFmtId="0" fontId="1" fillId="3" borderId="7" xfId="0" quotePrefix="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7" fillId="3" borderId="7" xfId="0" quotePrefix="1" applyFont="1" applyFill="1" applyBorder="1" applyAlignment="1">
      <alignment horizontal="center" vertical="center" wrapText="1" readingOrder="1"/>
    </xf>
    <xf numFmtId="0" fontId="7" fillId="3" borderId="4" xfId="0" quotePrefix="1" applyFont="1" applyFill="1" applyBorder="1" applyAlignment="1">
      <alignment horizontal="center" vertical="center" wrapText="1" readingOrder="1"/>
    </xf>
  </cellXfs>
  <cellStyles count="2">
    <cellStyle name="Currency" xfId="1" builtinId="4"/>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sheetPr>
    <pageSetUpPr fitToPage="1"/>
  </sheetPr>
  <dimension ref="A1:Z32"/>
  <sheetViews>
    <sheetView tabSelected="1" topLeftCell="I1" zoomScale="110" zoomScaleNormal="110" workbookViewId="0">
      <pane ySplit="1" topLeftCell="A2" activePane="bottomLeft" state="frozen"/>
      <selection pane="bottomLeft" activeCell="O2" sqref="O2:O4"/>
    </sheetView>
  </sheetViews>
  <sheetFormatPr defaultColWidth="9.21875" defaultRowHeight="14.4" x14ac:dyDescent="0.3"/>
  <cols>
    <col min="1" max="1" width="6.5546875" style="11" customWidth="1"/>
    <col min="2" max="2" width="7.77734375" style="15" customWidth="1"/>
    <col min="3" max="3" width="10.5546875" style="15" customWidth="1"/>
    <col min="4" max="4" width="17.77734375" style="15" customWidth="1"/>
    <col min="5" max="5" width="10.44140625" style="15" customWidth="1"/>
    <col min="6" max="6" width="11.21875" style="15" customWidth="1"/>
    <col min="7" max="7" width="14.21875" style="15" customWidth="1"/>
    <col min="8" max="8" width="15.77734375" style="15" customWidth="1"/>
    <col min="9" max="9" width="12.21875" style="15" customWidth="1"/>
    <col min="10" max="10" width="14.44140625" style="15" customWidth="1"/>
    <col min="11" max="11" width="17.21875" style="15" customWidth="1"/>
    <col min="12" max="12" width="8.77734375" style="15"/>
    <col min="13" max="13" width="12" style="15" customWidth="1"/>
    <col min="14" max="14" width="10.21875" style="15" customWidth="1"/>
    <col min="15" max="15" width="32.5546875" style="15" customWidth="1"/>
    <col min="16" max="16" width="10" bestFit="1" customWidth="1"/>
    <col min="17" max="17" width="30.44140625" customWidth="1"/>
    <col min="18" max="18" width="12.109375" customWidth="1"/>
    <col min="19" max="19" width="11.5546875" customWidth="1"/>
    <col min="20" max="21" width="8.5546875" customWidth="1"/>
    <col min="22" max="22" width="13" customWidth="1"/>
    <col min="23" max="23" width="15.21875" customWidth="1"/>
    <col min="24" max="24" width="9.88671875" customWidth="1"/>
    <col min="25" max="25" width="10.6640625" customWidth="1"/>
    <col min="26" max="26" width="10.5546875" customWidth="1"/>
  </cols>
  <sheetData>
    <row r="1" spans="1:26" s="1" customFormat="1" ht="42.6" customHeight="1" thickBot="1" x14ac:dyDescent="0.35">
      <c r="A1" s="9" t="s">
        <v>0</v>
      </c>
      <c r="B1" s="12" t="s">
        <v>1</v>
      </c>
      <c r="C1" s="12" t="s">
        <v>2</v>
      </c>
      <c r="D1" s="12" t="s">
        <v>4</v>
      </c>
      <c r="E1" s="12" t="s">
        <v>5</v>
      </c>
      <c r="F1" s="12" t="s">
        <v>15</v>
      </c>
      <c r="G1" s="12" t="s">
        <v>9</v>
      </c>
      <c r="H1" s="12" t="s">
        <v>13</v>
      </c>
      <c r="I1" s="12" t="s">
        <v>10</v>
      </c>
      <c r="J1" s="12" t="s">
        <v>11</v>
      </c>
      <c r="K1" s="12" t="s">
        <v>6</v>
      </c>
      <c r="L1" s="12" t="s">
        <v>7</v>
      </c>
      <c r="M1" s="9" t="s">
        <v>8</v>
      </c>
      <c r="N1" s="12" t="s">
        <v>3</v>
      </c>
      <c r="O1" s="12" t="s">
        <v>25</v>
      </c>
      <c r="P1" s="3" t="s">
        <v>12</v>
      </c>
      <c r="Q1" s="3" t="s">
        <v>14</v>
      </c>
      <c r="R1" s="6" t="s">
        <v>16</v>
      </c>
      <c r="S1" s="6" t="s">
        <v>17</v>
      </c>
      <c r="T1" s="7" t="s">
        <v>18</v>
      </c>
      <c r="U1" s="7" t="s">
        <v>19</v>
      </c>
      <c r="V1" s="7" t="s">
        <v>22</v>
      </c>
      <c r="W1" s="7" t="s">
        <v>20</v>
      </c>
      <c r="X1" s="6" t="s">
        <v>23</v>
      </c>
      <c r="Y1" s="6" t="s">
        <v>21</v>
      </c>
      <c r="Z1" s="6" t="s">
        <v>24</v>
      </c>
    </row>
    <row r="2" spans="1:26" s="1" customFormat="1" ht="40.200000000000003" customHeight="1" thickBot="1" x14ac:dyDescent="0.35">
      <c r="A2" s="36">
        <v>1</v>
      </c>
      <c r="B2" s="36" t="s">
        <v>26</v>
      </c>
      <c r="C2" s="2" t="s">
        <v>35</v>
      </c>
      <c r="D2" s="2" t="s">
        <v>46</v>
      </c>
      <c r="E2" s="4" t="s">
        <v>36</v>
      </c>
      <c r="F2" s="4" t="s">
        <v>37</v>
      </c>
      <c r="G2" s="16" t="s">
        <v>45</v>
      </c>
      <c r="H2" s="2" t="s">
        <v>38</v>
      </c>
      <c r="I2" s="2" t="s">
        <v>47</v>
      </c>
      <c r="J2" s="2" t="s">
        <v>49</v>
      </c>
      <c r="K2" s="37" t="s">
        <v>39</v>
      </c>
      <c r="L2" s="31" t="s">
        <v>51</v>
      </c>
      <c r="M2" s="19" t="s">
        <v>52</v>
      </c>
      <c r="N2" s="19" t="s">
        <v>53</v>
      </c>
      <c r="O2" s="22" t="s">
        <v>71</v>
      </c>
      <c r="P2" s="28" t="s">
        <v>66</v>
      </c>
      <c r="Q2" s="25" t="s">
        <v>67</v>
      </c>
      <c r="R2" s="20" t="s">
        <v>54</v>
      </c>
      <c r="S2" s="20" t="s">
        <v>55</v>
      </c>
      <c r="T2" s="21">
        <v>98000</v>
      </c>
      <c r="U2" s="21">
        <v>588000</v>
      </c>
      <c r="V2" s="5">
        <f>(0.6247-0.5051)*T2</f>
        <v>11720.800000000005</v>
      </c>
      <c r="W2" s="5">
        <f>(0.6247-0.5051)*U2</f>
        <v>70324.800000000017</v>
      </c>
      <c r="X2" s="5">
        <v>0</v>
      </c>
      <c r="Y2" s="5">
        <v>0</v>
      </c>
      <c r="Z2" s="5">
        <v>0</v>
      </c>
    </row>
    <row r="3" spans="1:26" s="1" customFormat="1" ht="45" customHeight="1" thickBot="1" x14ac:dyDescent="0.35">
      <c r="A3" s="34"/>
      <c r="B3" s="34"/>
      <c r="C3" s="2" t="s">
        <v>35</v>
      </c>
      <c r="D3" s="2" t="s">
        <v>58</v>
      </c>
      <c r="E3" s="4" t="s">
        <v>36</v>
      </c>
      <c r="F3" s="4" t="s">
        <v>37</v>
      </c>
      <c r="G3" s="16" t="s">
        <v>56</v>
      </c>
      <c r="H3" s="2" t="s">
        <v>38</v>
      </c>
      <c r="I3" s="2" t="s">
        <v>47</v>
      </c>
      <c r="J3" s="2" t="s">
        <v>49</v>
      </c>
      <c r="K3" s="38"/>
      <c r="L3" s="32"/>
      <c r="M3" s="8" t="s">
        <v>59</v>
      </c>
      <c r="N3" s="8" t="s">
        <v>60</v>
      </c>
      <c r="O3" s="23"/>
      <c r="P3" s="29"/>
      <c r="Q3" s="26"/>
      <c r="R3" s="20" t="s">
        <v>54</v>
      </c>
      <c r="S3" s="20" t="s">
        <v>55</v>
      </c>
      <c r="T3" s="21">
        <v>812742</v>
      </c>
      <c r="U3" s="21">
        <v>7314678</v>
      </c>
      <c r="V3" s="5">
        <f>(0.6247-0.5051)*812742</f>
        <v>97203.943200000038</v>
      </c>
      <c r="W3" s="5">
        <f>(0.6247-0.5051)*U3</f>
        <v>874835.48880000028</v>
      </c>
      <c r="X3" s="5" t="s">
        <v>61</v>
      </c>
      <c r="Y3" s="5" t="s">
        <v>61</v>
      </c>
      <c r="Z3" s="5">
        <v>0</v>
      </c>
    </row>
    <row r="4" spans="1:26" s="1" customFormat="1" ht="148.19999999999999" customHeight="1" thickBot="1" x14ac:dyDescent="0.35">
      <c r="A4" s="35"/>
      <c r="B4" s="35"/>
      <c r="C4" s="2" t="s">
        <v>35</v>
      </c>
      <c r="D4" s="2" t="s">
        <v>62</v>
      </c>
      <c r="E4" s="4" t="s">
        <v>36</v>
      </c>
      <c r="F4" s="4" t="s">
        <v>37</v>
      </c>
      <c r="G4" s="16" t="s">
        <v>63</v>
      </c>
      <c r="H4" s="2" t="s">
        <v>38</v>
      </c>
      <c r="I4" s="2" t="s">
        <v>48</v>
      </c>
      <c r="J4" s="2" t="s">
        <v>49</v>
      </c>
      <c r="K4" s="39"/>
      <c r="L4" s="33"/>
      <c r="M4" s="8" t="s">
        <v>64</v>
      </c>
      <c r="N4" s="8" t="s">
        <v>65</v>
      </c>
      <c r="O4" s="24"/>
      <c r="P4" s="30"/>
      <c r="Q4" s="27"/>
      <c r="R4" s="20" t="s">
        <v>54</v>
      </c>
      <c r="S4" s="20" t="s">
        <v>55</v>
      </c>
      <c r="T4" s="21">
        <v>812742</v>
      </c>
      <c r="U4" s="21">
        <v>7314678</v>
      </c>
      <c r="V4" s="5">
        <f>(0.6247-0.5051)*812742</f>
        <v>97203.943200000038</v>
      </c>
      <c r="W4" s="5">
        <f>(0.6247-0.5051)*U4</f>
        <v>874835.48880000028</v>
      </c>
      <c r="X4" s="5" t="s">
        <v>61</v>
      </c>
      <c r="Y4" s="5" t="s">
        <v>61</v>
      </c>
      <c r="Z4" s="5">
        <v>0</v>
      </c>
    </row>
    <row r="5" spans="1:26" s="1" customFormat="1" ht="43.8" customHeight="1" thickBot="1" x14ac:dyDescent="0.35">
      <c r="A5" s="34">
        <v>2</v>
      </c>
      <c r="B5" s="34" t="s">
        <v>26</v>
      </c>
      <c r="C5" s="13" t="s">
        <v>29</v>
      </c>
      <c r="D5" s="13" t="s">
        <v>40</v>
      </c>
      <c r="E5" s="13" t="s">
        <v>57</v>
      </c>
      <c r="F5" s="13" t="s">
        <v>30</v>
      </c>
      <c r="G5" s="16" t="s">
        <v>42</v>
      </c>
      <c r="H5" s="2" t="s">
        <v>34</v>
      </c>
      <c r="I5" s="2" t="s">
        <v>32</v>
      </c>
      <c r="J5" s="17" t="s">
        <v>28</v>
      </c>
      <c r="K5" s="34" t="s">
        <v>27</v>
      </c>
      <c r="L5" s="40" t="s">
        <v>50</v>
      </c>
      <c r="M5" s="32" t="s">
        <v>43</v>
      </c>
      <c r="N5" s="32" t="s">
        <v>44</v>
      </c>
      <c r="O5" s="34" t="s">
        <v>69</v>
      </c>
      <c r="P5" s="42" t="s">
        <v>68</v>
      </c>
      <c r="Q5" s="34" t="s">
        <v>70</v>
      </c>
      <c r="R5" s="18">
        <v>7.535E-2</v>
      </c>
      <c r="S5" s="18">
        <v>5.135E-2</v>
      </c>
      <c r="T5" s="4">
        <v>2900000</v>
      </c>
      <c r="U5" s="4">
        <v>14500000</v>
      </c>
      <c r="V5" s="5">
        <f>T5*(S5-R5)</f>
        <v>-69600</v>
      </c>
      <c r="W5" s="5">
        <f t="shared" ref="W5" si="0">U5*(S5-R5)</f>
        <v>-348000</v>
      </c>
      <c r="X5" s="5">
        <v>0</v>
      </c>
      <c r="Y5" s="5">
        <v>0</v>
      </c>
      <c r="Z5" s="5">
        <f t="shared" ref="Z5:Z6" si="1">Y5-X5</f>
        <v>0</v>
      </c>
    </row>
    <row r="6" spans="1:26" s="1" customFormat="1" ht="50.4" customHeight="1" thickBot="1" x14ac:dyDescent="0.35">
      <c r="A6" s="35"/>
      <c r="B6" s="35"/>
      <c r="C6" s="13" t="s">
        <v>29</v>
      </c>
      <c r="D6" s="13" t="s">
        <v>40</v>
      </c>
      <c r="E6" s="13" t="s">
        <v>57</v>
      </c>
      <c r="F6" s="13" t="s">
        <v>31</v>
      </c>
      <c r="G6" s="16" t="s">
        <v>41</v>
      </c>
      <c r="H6" s="2" t="s">
        <v>34</v>
      </c>
      <c r="I6" s="2" t="s">
        <v>33</v>
      </c>
      <c r="J6" s="17" t="s">
        <v>28</v>
      </c>
      <c r="K6" s="35"/>
      <c r="L6" s="41"/>
      <c r="M6" s="33"/>
      <c r="N6" s="33"/>
      <c r="O6" s="35"/>
      <c r="P6" s="43"/>
      <c r="Q6" s="35"/>
      <c r="R6" s="18">
        <v>8.6849999999999997E-2</v>
      </c>
      <c r="S6" s="18">
        <v>5.135E-2</v>
      </c>
      <c r="T6" s="4">
        <v>1127284</v>
      </c>
      <c r="U6" s="4">
        <v>5636419</v>
      </c>
      <c r="V6" s="5">
        <f>T6*(S6-R6)</f>
        <v>-40018.581999999995</v>
      </c>
      <c r="W6" s="5">
        <f>U6*(S6-R6)</f>
        <v>-200092.87449999998</v>
      </c>
      <c r="X6" s="5">
        <v>0</v>
      </c>
      <c r="Y6" s="5">
        <v>0</v>
      </c>
      <c r="Z6" s="5">
        <f t="shared" si="1"/>
        <v>0</v>
      </c>
    </row>
    <row r="7" spans="1:26" s="1" customFormat="1" ht="20.100000000000001" customHeight="1" thickBot="1" x14ac:dyDescent="0.35">
      <c r="A7" s="8"/>
      <c r="B7" s="2"/>
      <c r="C7" s="2"/>
      <c r="D7" s="2"/>
      <c r="E7" s="2"/>
      <c r="F7" s="2"/>
      <c r="G7" s="2"/>
      <c r="H7" s="2"/>
      <c r="I7" s="2"/>
      <c r="J7" s="2"/>
      <c r="K7" s="2"/>
      <c r="L7" s="2"/>
      <c r="M7" s="2"/>
      <c r="N7" s="2"/>
      <c r="O7" s="2"/>
      <c r="P7" s="2"/>
      <c r="Q7" s="2"/>
      <c r="R7" s="2"/>
      <c r="S7" s="2"/>
      <c r="T7" s="2"/>
      <c r="U7" s="2"/>
      <c r="V7" s="2"/>
      <c r="W7" s="2"/>
      <c r="X7" s="2"/>
      <c r="Y7" s="2"/>
      <c r="Z7" s="2"/>
    </row>
    <row r="8" spans="1:26" s="1" customFormat="1" ht="42.6" customHeight="1" x14ac:dyDescent="0.3">
      <c r="A8" s="10"/>
      <c r="B8" s="14"/>
      <c r="C8" s="14"/>
      <c r="D8" s="14"/>
      <c r="E8" s="14"/>
      <c r="F8" s="14"/>
      <c r="G8" s="14"/>
      <c r="H8" s="14"/>
      <c r="I8" s="14"/>
      <c r="J8" s="14"/>
      <c r="K8" s="14"/>
      <c r="L8" s="14"/>
      <c r="M8" s="14"/>
      <c r="N8" s="14"/>
      <c r="O8" s="14"/>
    </row>
    <row r="9" spans="1:26" s="1" customFormat="1" ht="42.6" customHeight="1" x14ac:dyDescent="0.3">
      <c r="A9" s="10"/>
      <c r="B9" s="14"/>
      <c r="C9" s="14"/>
      <c r="D9" s="14"/>
      <c r="E9" s="14"/>
      <c r="F9" s="14"/>
      <c r="G9" s="14"/>
      <c r="H9" s="14"/>
      <c r="I9" s="14"/>
      <c r="J9" s="14"/>
      <c r="K9" s="14"/>
      <c r="L9" s="14"/>
      <c r="M9" s="14"/>
      <c r="N9" s="14"/>
      <c r="O9" s="14"/>
    </row>
    <row r="10" spans="1:26" s="1" customFormat="1" ht="42.6" customHeight="1" x14ac:dyDescent="0.3">
      <c r="A10" s="10"/>
      <c r="B10" s="14"/>
      <c r="C10" s="14"/>
      <c r="D10" s="14"/>
      <c r="E10" s="14"/>
      <c r="F10" s="14"/>
      <c r="G10" s="14"/>
      <c r="H10" s="14"/>
      <c r="I10" s="14"/>
      <c r="J10" s="14"/>
      <c r="K10" s="14"/>
      <c r="L10" s="14"/>
      <c r="M10" s="14"/>
      <c r="N10" s="14"/>
      <c r="O10" s="14"/>
    </row>
    <row r="11" spans="1:26" s="1" customFormat="1" ht="42.6" customHeight="1" x14ac:dyDescent="0.3">
      <c r="A11" s="10"/>
      <c r="B11" s="14"/>
      <c r="C11" s="14"/>
      <c r="D11" s="14"/>
      <c r="E11" s="14"/>
      <c r="F11" s="14"/>
      <c r="G11" s="14"/>
      <c r="H11" s="14"/>
      <c r="I11" s="14"/>
      <c r="J11" s="14"/>
      <c r="K11" s="14"/>
      <c r="L11" s="14"/>
      <c r="M11" s="14"/>
      <c r="N11" s="14"/>
      <c r="O11" s="14"/>
    </row>
    <row r="12" spans="1:26" s="1" customFormat="1" ht="42.6" customHeight="1" x14ac:dyDescent="0.3">
      <c r="A12" s="10"/>
      <c r="B12" s="14"/>
      <c r="C12" s="14"/>
      <c r="D12" s="14"/>
      <c r="E12" s="14"/>
      <c r="F12" s="14"/>
      <c r="G12" s="14"/>
      <c r="H12" s="14"/>
      <c r="I12" s="14"/>
      <c r="J12" s="14"/>
      <c r="K12" s="14"/>
      <c r="L12" s="14"/>
      <c r="M12" s="14"/>
      <c r="N12" s="14"/>
      <c r="O12" s="14"/>
    </row>
    <row r="13" spans="1:26" s="1" customFormat="1" ht="42.6" customHeight="1" x14ac:dyDescent="0.3">
      <c r="A13" s="10"/>
      <c r="B13" s="14"/>
      <c r="C13" s="14"/>
      <c r="D13" s="14"/>
      <c r="E13" s="14"/>
      <c r="F13" s="14"/>
      <c r="G13" s="14"/>
      <c r="H13" s="14"/>
      <c r="I13" s="14"/>
      <c r="J13" s="14"/>
      <c r="K13" s="14"/>
      <c r="L13" s="14"/>
      <c r="M13" s="14"/>
      <c r="N13" s="14"/>
      <c r="O13" s="14"/>
    </row>
    <row r="14" spans="1:26" s="1" customFormat="1" ht="42.6" customHeight="1" x14ac:dyDescent="0.3">
      <c r="A14" s="10"/>
      <c r="B14" s="14"/>
      <c r="C14" s="14"/>
      <c r="D14" s="14"/>
      <c r="E14" s="14"/>
      <c r="F14" s="14"/>
      <c r="G14" s="14"/>
      <c r="H14" s="14"/>
      <c r="I14" s="14"/>
      <c r="J14" s="14"/>
      <c r="K14" s="14"/>
      <c r="L14" s="14"/>
      <c r="M14" s="14"/>
      <c r="N14" s="14"/>
      <c r="O14" s="14"/>
    </row>
    <row r="15" spans="1:26" s="1" customFormat="1" ht="42.6" customHeight="1" x14ac:dyDescent="0.3">
      <c r="A15" s="10"/>
      <c r="B15" s="14"/>
      <c r="C15" s="14"/>
      <c r="D15" s="14"/>
      <c r="E15" s="14"/>
      <c r="F15" s="14"/>
      <c r="G15" s="14"/>
      <c r="H15" s="14"/>
      <c r="I15" s="14"/>
      <c r="J15" s="14"/>
      <c r="K15" s="14"/>
      <c r="L15" s="14"/>
      <c r="M15" s="14"/>
      <c r="N15" s="14"/>
      <c r="O15" s="14"/>
    </row>
    <row r="16" spans="1:26" s="1" customFormat="1" ht="42.6" customHeight="1" x14ac:dyDescent="0.3">
      <c r="A16" s="10"/>
      <c r="B16" s="14"/>
      <c r="C16" s="14"/>
      <c r="D16" s="14"/>
      <c r="E16" s="14"/>
      <c r="F16" s="14"/>
      <c r="G16" s="14"/>
      <c r="H16" s="14"/>
      <c r="I16" s="14"/>
      <c r="J16" s="14"/>
      <c r="K16" s="14"/>
      <c r="L16" s="14"/>
      <c r="M16" s="14"/>
      <c r="N16" s="14"/>
      <c r="O16" s="14"/>
    </row>
    <row r="17" spans="1:15" s="1" customFormat="1" ht="42.6" customHeight="1" x14ac:dyDescent="0.3">
      <c r="A17" s="10"/>
      <c r="B17" s="14"/>
      <c r="C17" s="14"/>
      <c r="D17" s="14"/>
      <c r="E17" s="14"/>
      <c r="F17" s="14"/>
      <c r="G17" s="14"/>
      <c r="H17" s="14"/>
      <c r="I17" s="14"/>
      <c r="J17" s="14"/>
      <c r="K17" s="14"/>
      <c r="L17" s="14"/>
      <c r="M17" s="14"/>
      <c r="N17" s="14"/>
      <c r="O17" s="14"/>
    </row>
    <row r="18" spans="1:15" s="1" customFormat="1" ht="42.6" customHeight="1" x14ac:dyDescent="0.3">
      <c r="A18" s="10"/>
      <c r="B18" s="14"/>
      <c r="C18" s="14"/>
      <c r="D18" s="14"/>
      <c r="E18" s="14"/>
      <c r="F18" s="14"/>
      <c r="G18" s="14"/>
      <c r="H18" s="14"/>
      <c r="I18" s="14"/>
      <c r="J18" s="14"/>
      <c r="K18" s="14"/>
      <c r="L18" s="14"/>
      <c r="M18" s="14"/>
      <c r="N18" s="14"/>
      <c r="O18" s="14"/>
    </row>
    <row r="19" spans="1:15" s="1" customFormat="1" ht="42.6" customHeight="1" x14ac:dyDescent="0.3">
      <c r="A19" s="10"/>
      <c r="B19" s="14"/>
      <c r="C19" s="14"/>
      <c r="D19" s="14"/>
      <c r="E19" s="14"/>
      <c r="F19" s="14"/>
      <c r="G19" s="14"/>
      <c r="H19" s="14"/>
      <c r="I19" s="14"/>
      <c r="J19" s="14"/>
      <c r="K19" s="14"/>
      <c r="L19" s="14"/>
      <c r="M19" s="14"/>
      <c r="N19" s="14"/>
      <c r="O19" s="14"/>
    </row>
    <row r="20" spans="1:15" s="1" customFormat="1" ht="42.6" customHeight="1" x14ac:dyDescent="0.3">
      <c r="A20" s="10"/>
      <c r="B20" s="14"/>
      <c r="C20" s="14"/>
      <c r="D20" s="14"/>
      <c r="E20" s="14"/>
      <c r="F20" s="14"/>
      <c r="G20" s="14"/>
      <c r="H20" s="14"/>
      <c r="I20" s="14"/>
      <c r="J20" s="14"/>
      <c r="K20" s="14"/>
      <c r="L20" s="14"/>
      <c r="M20" s="14"/>
      <c r="N20" s="14"/>
      <c r="O20" s="14"/>
    </row>
    <row r="21" spans="1:15" s="1" customFormat="1" ht="42.6" customHeight="1" x14ac:dyDescent="0.3">
      <c r="A21" s="10"/>
      <c r="B21" s="14"/>
      <c r="C21" s="14"/>
      <c r="D21" s="14"/>
      <c r="E21" s="14"/>
      <c r="F21" s="14"/>
      <c r="G21" s="14"/>
      <c r="H21" s="14"/>
      <c r="I21" s="14"/>
      <c r="J21" s="14"/>
      <c r="K21" s="14"/>
      <c r="L21" s="14"/>
      <c r="M21" s="14"/>
      <c r="N21" s="14"/>
      <c r="O21" s="14"/>
    </row>
    <row r="22" spans="1:15" s="1" customFormat="1" ht="42.6" customHeight="1" x14ac:dyDescent="0.3">
      <c r="A22" s="10"/>
      <c r="B22" s="14"/>
      <c r="C22" s="14"/>
      <c r="D22" s="14"/>
      <c r="E22" s="14"/>
      <c r="F22" s="14"/>
      <c r="G22" s="14"/>
      <c r="H22" s="14"/>
      <c r="I22" s="14"/>
      <c r="J22" s="14"/>
      <c r="K22" s="14"/>
      <c r="L22" s="14"/>
      <c r="M22" s="14"/>
      <c r="N22" s="14"/>
      <c r="O22" s="14"/>
    </row>
    <row r="23" spans="1:15" s="1" customFormat="1" ht="42.6" customHeight="1" x14ac:dyDescent="0.3">
      <c r="A23" s="10"/>
      <c r="B23" s="14"/>
      <c r="C23" s="14"/>
      <c r="D23" s="14"/>
      <c r="E23" s="14"/>
      <c r="F23" s="14"/>
      <c r="G23" s="14"/>
      <c r="H23" s="14"/>
      <c r="I23" s="14"/>
      <c r="J23" s="14"/>
      <c r="K23" s="14"/>
      <c r="L23" s="14"/>
      <c r="M23" s="14"/>
      <c r="N23" s="14"/>
      <c r="O23" s="14"/>
    </row>
    <row r="24" spans="1:15" s="1" customFormat="1" ht="42.6" customHeight="1" x14ac:dyDescent="0.3">
      <c r="A24" s="10"/>
      <c r="B24" s="14"/>
      <c r="C24" s="14"/>
      <c r="D24" s="14"/>
      <c r="E24" s="14"/>
      <c r="F24" s="14"/>
      <c r="G24" s="14"/>
      <c r="H24" s="14"/>
      <c r="I24" s="14"/>
      <c r="J24" s="14"/>
      <c r="K24" s="14"/>
      <c r="L24" s="14"/>
      <c r="M24" s="14"/>
      <c r="N24" s="14"/>
      <c r="O24" s="14"/>
    </row>
    <row r="25" spans="1:15" s="1" customFormat="1" ht="42.6" customHeight="1" x14ac:dyDescent="0.3">
      <c r="A25" s="10"/>
      <c r="B25" s="14"/>
      <c r="C25" s="14"/>
      <c r="D25" s="14"/>
      <c r="E25" s="14"/>
      <c r="F25" s="14"/>
      <c r="G25" s="14"/>
      <c r="H25" s="14"/>
      <c r="I25" s="14"/>
      <c r="J25" s="14"/>
      <c r="K25" s="14"/>
      <c r="L25" s="14"/>
      <c r="M25" s="14"/>
      <c r="N25" s="14"/>
      <c r="O25" s="14"/>
    </row>
    <row r="26" spans="1:15" s="1" customFormat="1" ht="42.6" customHeight="1" x14ac:dyDescent="0.3">
      <c r="A26" s="10"/>
      <c r="B26" s="14"/>
      <c r="C26" s="14"/>
      <c r="D26" s="14"/>
      <c r="E26" s="14"/>
      <c r="F26" s="14"/>
      <c r="G26" s="14"/>
      <c r="H26" s="14"/>
      <c r="I26" s="14"/>
      <c r="J26" s="14"/>
      <c r="K26" s="14"/>
      <c r="L26" s="14"/>
      <c r="M26" s="14"/>
      <c r="N26" s="14"/>
      <c r="O26" s="14"/>
    </row>
    <row r="27" spans="1:15" s="1" customFormat="1" ht="42.6" customHeight="1" x14ac:dyDescent="0.3">
      <c r="A27" s="10"/>
      <c r="B27" s="14"/>
      <c r="C27" s="14"/>
      <c r="D27" s="14"/>
      <c r="E27" s="14"/>
      <c r="F27" s="14"/>
      <c r="G27" s="14"/>
      <c r="H27" s="14"/>
      <c r="I27" s="14"/>
      <c r="J27" s="14"/>
      <c r="K27" s="14"/>
      <c r="L27" s="14"/>
      <c r="M27" s="14"/>
      <c r="N27" s="14"/>
      <c r="O27" s="14"/>
    </row>
    <row r="28" spans="1:15" s="1" customFormat="1" ht="42.6" customHeight="1" x14ac:dyDescent="0.3">
      <c r="A28" s="10"/>
      <c r="B28" s="14"/>
      <c r="C28" s="14"/>
      <c r="D28" s="14"/>
      <c r="E28" s="14"/>
      <c r="F28" s="14"/>
      <c r="G28" s="14"/>
      <c r="H28" s="14"/>
      <c r="I28" s="14"/>
      <c r="J28" s="14"/>
      <c r="K28" s="14"/>
      <c r="L28" s="14"/>
      <c r="M28" s="14"/>
      <c r="N28" s="14"/>
      <c r="O28" s="14"/>
    </row>
    <row r="29" spans="1:15" s="1" customFormat="1" ht="42.6" customHeight="1" x14ac:dyDescent="0.3">
      <c r="A29" s="10"/>
      <c r="B29" s="14"/>
      <c r="C29" s="14"/>
      <c r="D29" s="14"/>
      <c r="E29" s="14"/>
      <c r="F29" s="14"/>
      <c r="G29" s="14"/>
      <c r="H29" s="14"/>
      <c r="I29" s="14"/>
      <c r="J29" s="14"/>
      <c r="K29" s="14"/>
      <c r="L29" s="14"/>
      <c r="M29" s="14"/>
      <c r="N29" s="14"/>
      <c r="O29" s="14"/>
    </row>
    <row r="30" spans="1:15" s="1" customFormat="1" ht="42.6" customHeight="1" x14ac:dyDescent="0.3">
      <c r="A30" s="10"/>
      <c r="B30" s="14"/>
      <c r="C30" s="14"/>
      <c r="D30" s="14"/>
      <c r="E30" s="14"/>
      <c r="F30" s="14"/>
      <c r="G30" s="14"/>
      <c r="H30" s="14"/>
      <c r="I30" s="14"/>
      <c r="J30" s="14"/>
      <c r="K30" s="14"/>
      <c r="L30" s="14"/>
      <c r="M30" s="14"/>
      <c r="N30" s="14"/>
      <c r="O30" s="14"/>
    </row>
    <row r="31" spans="1:15" s="1" customFormat="1" ht="42.6" customHeight="1" x14ac:dyDescent="0.3">
      <c r="A31" s="10"/>
      <c r="B31" s="14"/>
      <c r="C31" s="14"/>
      <c r="D31" s="14"/>
      <c r="E31" s="14"/>
      <c r="F31" s="14"/>
      <c r="G31" s="14"/>
      <c r="H31" s="14"/>
      <c r="I31" s="14"/>
      <c r="J31" s="14"/>
      <c r="K31" s="14"/>
      <c r="L31" s="14"/>
      <c r="M31" s="14"/>
      <c r="N31" s="14"/>
      <c r="O31" s="14"/>
    </row>
    <row r="32" spans="1:15" s="1" customFormat="1" ht="42.6" customHeight="1" x14ac:dyDescent="0.3">
      <c r="A32" s="10"/>
      <c r="B32" s="14"/>
      <c r="C32" s="14"/>
      <c r="D32" s="14"/>
      <c r="E32" s="14"/>
      <c r="F32" s="14"/>
      <c r="G32" s="14"/>
      <c r="H32" s="14"/>
      <c r="I32" s="14"/>
      <c r="J32" s="14"/>
      <c r="K32" s="14"/>
      <c r="L32" s="14"/>
      <c r="M32" s="14"/>
      <c r="N32" s="14"/>
      <c r="O32" s="14"/>
    </row>
  </sheetData>
  <mergeCells count="16">
    <mergeCell ref="O2:O4"/>
    <mergeCell ref="Q2:Q4"/>
    <mergeCell ref="P2:P4"/>
    <mergeCell ref="L2:L4"/>
    <mergeCell ref="A5:A6"/>
    <mergeCell ref="B5:B6"/>
    <mergeCell ref="A2:A4"/>
    <mergeCell ref="B2:B4"/>
    <mergeCell ref="K5:K6"/>
    <mergeCell ref="K2:K4"/>
    <mergeCell ref="L5:L6"/>
    <mergeCell ref="O5:O6"/>
    <mergeCell ref="P5:P6"/>
    <mergeCell ref="Q5:Q6"/>
    <mergeCell ref="M5:M6"/>
    <mergeCell ref="N5:N6"/>
  </mergeCells>
  <phoneticPr fontId="3" type="noConversion"/>
  <conditionalFormatting sqref="V1:V4 Z1:Z1048576 W2 V5:W6 V7:V1048576">
    <cfRule type="cellIs" dxfId="1" priority="10" operator="lessThan">
      <formula>0</formula>
    </cfRule>
  </conditionalFormatting>
  <conditionalFormatting sqref="V2:W6">
    <cfRule type="cellIs" dxfId="0" priority="1" operator="greaterThan">
      <formula>0</formula>
    </cfRule>
  </conditionalFormatting>
  <pageMargins left="0.7" right="0.7" top="0.75" bottom="0.75" header="0.3" footer="0.3"/>
  <pageSetup paperSize="17" scale="71" fitToHeight="0" orientation="landscape"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5C73C1-031B-4315-97C0-2A1C11C583C1}"/>
</file>

<file path=customXml/itemProps2.xml><?xml version="1.0" encoding="utf-8"?>
<ds:datastoreItem xmlns:ds="http://schemas.openxmlformats.org/officeDocument/2006/customXml" ds:itemID="{E3679EA2-FD2D-4ECF-A1B8-1F9798EF0DBA}"/>
</file>

<file path=customXml/itemProps3.xml><?xml version="1.0" encoding="utf-8"?>
<ds:datastoreItem xmlns:ds="http://schemas.openxmlformats.org/officeDocument/2006/customXml" ds:itemID="{2A8524A0-C7D5-42DC-8686-470127AEF0F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KW44, 2025</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2025-09-15T15:27:47Z</cp:lastPrinted>
  <dcterms:created xsi:type="dcterms:W3CDTF">2025-09-02T13:26:50Z</dcterms:created>
  <dcterms:modified xsi:type="dcterms:W3CDTF">2026-04-14T16:00:04Z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ustomUiType">
    <vt:lpwstr>2</vt:lpwstr>
  </property>
  <property fmtid="{D5CDD505-2E9C-101B-9397-08002B2CF9AE}" pid="10" name="IbpWorkbookKeyString_GUID">
    <vt:lpwstr>c7b7ae5a-f3f0-43ee-b73c-55769b880291</vt:lpwstr>
  </property>
  <property fmtid="{D5CDD505-2E9C-101B-9397-08002B2CF9AE}" pid="11" name="ContentTypeId">
    <vt:lpwstr>0x010100D2AE94798D0E7D4487CB84FC9A87565D</vt:lpwstr>
  </property>
</Properties>
</file>