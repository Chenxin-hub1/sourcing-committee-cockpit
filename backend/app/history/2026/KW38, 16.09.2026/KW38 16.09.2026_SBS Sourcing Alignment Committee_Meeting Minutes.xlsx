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2026/Sourcing Alignment meeting/KW38, 16.09.2026/"/>
    </mc:Choice>
  </mc:AlternateContent>
  <xr:revisionPtr revIDLastSave="0" documentId="8_{E75FDF9E-D8F5-4ACA-8A85-676FC3FCB3C3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KW38, 2026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4" l="1"/>
  <c r="V3" i="4"/>
  <c r="W2" i="4"/>
  <c r="V2" i="4"/>
  <c r="Z4" i="4"/>
  <c r="W4" i="4"/>
  <c r="V4" i="4"/>
  <c r="Z9" i="4"/>
  <c r="W9" i="4"/>
  <c r="V9" i="4"/>
  <c r="Z8" i="4"/>
  <c r="W8" i="4"/>
  <c r="V8" i="4"/>
  <c r="Z7" i="4" l="1"/>
  <c r="W7" i="4"/>
  <c r="V7" i="4"/>
  <c r="W5" i="4" l="1"/>
  <c r="V5" i="4"/>
  <c r="Z6" i="4"/>
  <c r="W6" i="4"/>
  <c r="V6" i="4"/>
  <c r="Z5" i="4"/>
</calcChain>
</file>

<file path=xl/sharedStrings.xml><?xml version="1.0" encoding="utf-8"?>
<sst xmlns="http://schemas.openxmlformats.org/spreadsheetml/2006/main" count="160" uniqueCount="119">
  <si>
    <t>#</t>
  </si>
  <si>
    <t>Region</t>
  </si>
  <si>
    <t>Type</t>
  </si>
  <si>
    <t>Project/ Product</t>
  </si>
  <si>
    <t>Commodity</t>
  </si>
  <si>
    <t>Presenter</t>
  </si>
  <si>
    <t>Decision Level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</si>
  <si>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</si>
  <si>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</si>
  <si>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</si>
  <si>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</si>
  <si>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</si>
  <si>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</si>
  <si>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</si>
  <si>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</si>
  <si>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</si>
  <si>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</si>
  <si>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</si>
  <si>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</si>
  <si>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</si>
  <si>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</si>
  <si>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</si>
  <si>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</si>
  <si>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Comment</t>
  </si>
  <si>
    <t>New</t>
  </si>
  <si>
    <t>SC</t>
  </si>
  <si>
    <t>L4</t>
  </si>
  <si>
    <t>AP</t>
  </si>
  <si>
    <t>MBEAL
Family 8.SE</t>
  </si>
  <si>
    <t>R004G887</t>
  </si>
  <si>
    <t>2K Euro</t>
  </si>
  <si>
    <t>0,3K Euro</t>
  </si>
  <si>
    <t>GCS</t>
  </si>
  <si>
    <t>CH</t>
  </si>
  <si>
    <t>Approved offline KW36</t>
  </si>
  <si>
    <t>A026D931D</t>
  </si>
  <si>
    <t>SEAL, FLAT ROUND (PISTON)</t>
  </si>
  <si>
    <t>110000034915</t>
  </si>
  <si>
    <t>SEAL, RETRACTOR-PRETENSIONER</t>
  </si>
  <si>
    <t>R002M163A</t>
  </si>
  <si>
    <t>ANTON LENS</t>
  </si>
  <si>
    <t>CH02013 Sealing Elements</t>
  </si>
  <si>
    <t>CH01016 Medium Precision</t>
  </si>
  <si>
    <t>ALBERTO MARTINEZ</t>
  </si>
  <si>
    <t>AP: Changzhou Cinchsun Macromolecule</t>
  </si>
  <si>
    <t>SC06004
Cutting Bending Small</t>
  </si>
  <si>
    <t>110000034876</t>
  </si>
  <si>
    <t>RING, RETRACTOR SPOOL ROLL-FORMING</t>
  </si>
  <si>
    <t>A023H780A</t>
  </si>
  <si>
    <t>Advanced Moulding Production Ltd.</t>
  </si>
  <si>
    <t>Lingqin Hu</t>
  </si>
  <si>
    <t>1,12 RMB/pc
0,1418 Euro/pc</t>
  </si>
  <si>
    <t xml:space="preserve">0,196 RMB/pc
0,025 Euro/pc </t>
  </si>
  <si>
    <t xml:space="preserve">0.1704 RMB/pc
0,0216 Euro/pc </t>
  </si>
  <si>
    <t>0,196 RMB/pc
0,025 Euro/pc</t>
  </si>
  <si>
    <t xml:space="preserve">0,1244 RMB/pc
0,016 Euro/pc 
</t>
  </si>
  <si>
    <t>10127 Euro
80000 RMB</t>
  </si>
  <si>
    <t>5443 Euro  43000 RMB</t>
  </si>
  <si>
    <t>6582 Euro 52000 RMB</t>
  </si>
  <si>
    <t>9532 Euro
75.300 RMB</t>
  </si>
  <si>
    <t>19873 Euro
157.000 RMB</t>
  </si>
  <si>
    <t>110000034887</t>
  </si>
  <si>
    <t>110000035599</t>
  </si>
  <si>
    <t>Peak Year Spend
Euro</t>
  </si>
  <si>
    <t>LT Spend
Euro</t>
  </si>
  <si>
    <t>Approved offline KW37</t>
  </si>
  <si>
    <t>1,92 RMB/pc
0,24 Euro/pc</t>
  </si>
  <si>
    <t>1,49 Euro/pc
0,19 Euro/pc</t>
  </si>
  <si>
    <t>17722 Euro
140.000 RMB</t>
  </si>
  <si>
    <t>18987 Euro
150.000 RMB</t>
  </si>
  <si>
    <t>1. Allocation into 140,000 pcs
2. Approved by Family 8.SE team</t>
  </si>
  <si>
    <t>1. Allocation into 61,352 pcs
2. Approved by Family 8.SE team</t>
  </si>
  <si>
    <t>1. Allocation into 75,300  pcs
2. Approved by Family 8.SE team</t>
  </si>
  <si>
    <t>1. Allocation into 202,342 pcs of MBEAL 3 years volume
2. Approved by Family 8.SE team</t>
  </si>
  <si>
    <t>1. Allocation into 61,352 pcs of MBEAL 3 years volume
2. Approved by Family 8.SE team</t>
  </si>
  <si>
    <t>0,9265 RMB/pc
0,1173 Euro/pc</t>
  </si>
  <si>
    <t>1,66 RMB/pc
0,2075 Euro/pc</t>
  </si>
  <si>
    <t>1,65 RMB/pc
0,2065 Euro/pc</t>
  </si>
  <si>
    <t>R004G886A</t>
  </si>
  <si>
    <t>PAWL SLL.S + STOP.S (HELIX)</t>
  </si>
  <si>
    <t>PLATE, RETRACTOR WAVE-DISC; WD65 (Ø33,0/1,2) MB.EA-L (std)_WAVE DISC SERIES</t>
  </si>
  <si>
    <t>R003B363A</t>
  </si>
  <si>
    <t>Zhejiang Jinrong New Energy</t>
  </si>
  <si>
    <t>Nantong Xinding Chihong New Material</t>
  </si>
  <si>
    <t>Yajun Zhao</t>
  </si>
  <si>
    <t>41500 Euro
332000 RMB</t>
  </si>
  <si>
    <t>10625 Euro
85000 RMB</t>
  </si>
  <si>
    <t>FF</t>
  </si>
  <si>
    <t>34196053B</t>
  </si>
  <si>
    <t>Taizhou Fenghua Universal Machine Co.,Ltd.</t>
  </si>
  <si>
    <t>75K Euro</t>
  </si>
  <si>
    <t>242K Euro</t>
  </si>
  <si>
    <t>Distance Washer (2mm)</t>
  </si>
  <si>
    <t>MB MRA2
SPR8</t>
  </si>
  <si>
    <t>NA</t>
  </si>
  <si>
    <t>New part</t>
  </si>
  <si>
    <t>LSU Zinc to POM
Family 8</t>
  </si>
  <si>
    <t>Functional plastics</t>
  </si>
  <si>
    <t>CH01016
Medium Precision</t>
  </si>
  <si>
    <t>110000034190</t>
  </si>
  <si>
    <t>Inertia Pawl</t>
  </si>
  <si>
    <t>R000V242C</t>
  </si>
  <si>
    <t>Prism Plastics Inc</t>
  </si>
  <si>
    <t>Alba Guerra</t>
  </si>
  <si>
    <t>213K Euro</t>
  </si>
  <si>
    <t>592K Euro</t>
  </si>
  <si>
    <t>0,040 EUR
0,044 USD</t>
  </si>
  <si>
    <t>0,0390 EUR 
0,0414 USD</t>
  </si>
  <si>
    <t>110.273 EUR 121.300 USD</t>
  </si>
  <si>
    <t>Aligned with family.
CCB2 approved.</t>
  </si>
  <si>
    <t>FF01005
Full Long</t>
  </si>
  <si>
    <t>FF01013
Miscellaneous Fasteners</t>
  </si>
  <si>
    <t>DLT-2 Tongue
Alex</t>
  </si>
  <si>
    <t>1.	Approved by family team</t>
  </si>
  <si>
    <t>1.	Approved by project and VAVE team
2.	Comparison with Stamping supplier together.</t>
  </si>
  <si>
    <t>0,661 RMB/pc
0,0826 Euro/pc</t>
  </si>
  <si>
    <t>0,20 RMB/pc
0,02532 Euro/pc</t>
  </si>
  <si>
    <t>0,56 RMB/pc
00,7089 Euro/pc</t>
  </si>
  <si>
    <t>0,16 RMB/pc
0,02 Euro/pc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</si>
</sst>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\ [$€-407];\-#,##0\ [$€-407]"/>
    <numFmt numFmtId="165" formatCode="_-* #,##0\ &quot;€&quot;_-;\-* #,##0\ &quot;€&quot;_-;_-* &quot;-&quot;??\ &quot;€&quot;_-;_-@_-"/>
    <numFmt numFmtId="166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11"/>
      <color rgb="FF006100"/>
      <name val="Calibri"/>
      <family val="2"/>
      <scheme val="minor"/>
    </font>
    <font>
      <sz val="8"/>
      <color rgb="FF006100"/>
      <name val="Arial"/>
      <family val="2"/>
    </font>
    <font>
      <b/>
      <sz val="8"/>
      <color theme="9"/>
      <name val="Arial"/>
      <family val="2"/>
    </font>
    <font>
      <sz val="8"/>
      <name val="Calibri"/>
      <family val="2"/>
      <scheme val="minor"/>
    </font>
    <font>
      <b/>
      <sz val="8"/>
      <color rgb="FF00B05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medium">
        <color theme="0"/>
      </top>
      <bottom/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43" fontId="9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4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2" fillId="4" borderId="2" xfId="0" applyFont="1" applyFill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center" vertical="center" wrapText="1" readingOrder="1"/>
    </xf>
    <xf numFmtId="44" fontId="4" fillId="5" borderId="3" xfId="1" quotePrefix="1" applyNumberFormat="1" applyFont="1" applyBorder="1" applyAlignment="1">
      <alignment horizontal="center" vertical="center" wrapText="1" readingOrder="1"/>
    </xf>
    <xf numFmtId="3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1" fontId="1" fillId="3" borderId="3" xfId="0" quotePrefix="1" applyNumberFormat="1" applyFont="1" applyFill="1" applyBorder="1" applyAlignment="1">
      <alignment horizontal="center" vertical="center" wrapText="1" readingOrder="1"/>
    </xf>
    <xf numFmtId="0" fontId="1" fillId="3" borderId="5" xfId="0" applyFont="1" applyFill="1" applyBorder="1" applyAlignment="1">
      <alignment horizontal="center" vertical="center" wrapText="1"/>
    </xf>
    <xf numFmtId="0" fontId="7" fillId="3" borderId="3" xfId="0" quotePrefix="1" applyFont="1" applyFill="1" applyBorder="1" applyAlignment="1">
      <alignment horizontal="center" vertical="center" wrapText="1" readingOrder="1"/>
    </xf>
    <xf numFmtId="165" fontId="4" fillId="5" borderId="3" xfId="1" quotePrefix="1" applyNumberFormat="1" applyFont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vertical="center" wrapText="1" readingOrder="1"/>
    </xf>
    <xf numFmtId="164" fontId="8" fillId="5" borderId="3" xfId="1" quotePrefix="1" applyNumberFormat="1" applyFont="1" applyBorder="1" applyAlignment="1">
      <alignment horizontal="center" vertical="center" wrapText="1" readingOrder="1"/>
    </xf>
    <xf numFmtId="0" fontId="1" fillId="3" borderId="6" xfId="0" quotePrefix="1" applyFont="1" applyFill="1" applyBorder="1" applyAlignment="1">
      <alignment horizontal="left" vertical="center" wrapText="1" readingOrder="1"/>
    </xf>
    <xf numFmtId="166" fontId="1" fillId="3" borderId="3" xfId="2" quotePrefix="1" applyNumberFormat="1" applyFont="1" applyFill="1" applyBorder="1" applyAlignment="1">
      <alignment vertical="center" wrapText="1" readingOrder="1"/>
    </xf>
  </cellXfs>
  <cellStyles count="3">
    <cellStyle name="Comma" xfId="2" builtinId="3"/>
    <cellStyle name="Good" xfId="1" builtinId="26"/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Z26"/>
  <sheetViews>
    <sheetView tabSelected="1" zoomScale="115" zoomScaleNormal="115" workbookViewId="0">
      <selection sqref="A1:P9"/>
    </sheetView>
  </sheetViews>
  <sheetFormatPr defaultColWidth="9.109375" defaultRowHeight="14.4" x14ac:dyDescent="0.3"/>
  <cols>
    <col min="1" max="3" width="8.88671875" style="4"/>
    <col min="4" max="4" width="13.109375" style="4" customWidth="1"/>
    <col min="5" max="5" width="11.5546875" style="4" customWidth="1"/>
    <col min="6" max="6" width="11.109375" style="4" customWidth="1"/>
    <col min="7" max="7" width="20.6640625" style="4" customWidth="1"/>
    <col min="8" max="8" width="13.6640625" style="4" customWidth="1"/>
    <col min="9" max="9" width="13.88671875" style="4" customWidth="1"/>
    <col min="10" max="10" width="14.44140625" style="4" customWidth="1"/>
    <col min="11" max="11" width="10.109375" style="4" customWidth="1"/>
    <col min="12" max="12" width="9.109375" style="4" customWidth="1"/>
    <col min="13" max="13" width="12" style="4" customWidth="1"/>
    <col min="14" max="14" width="11.33203125" style="4" customWidth="1"/>
    <col min="15" max="15" width="33.44140625" style="4" customWidth="1"/>
    <col min="16" max="16" width="17.109375" style="4" customWidth="1"/>
    <col min="17" max="17" width="30.44140625" style="4" customWidth="1"/>
    <col min="18" max="18" width="15.21875" style="4" customWidth="1"/>
    <col min="19" max="19" width="18" style="4" customWidth="1"/>
    <col min="20" max="21" width="10.88671875" style="4" customWidth="1"/>
    <col min="22" max="22" width="16.33203125" style="4" customWidth="1"/>
    <col min="23" max="23" width="12.109375" style="4" bestFit="1" customWidth="1"/>
    <col min="24" max="24" width="13.5546875" style="4" customWidth="1"/>
    <col min="25" max="26" width="10.88671875" style="4" customWidth="1"/>
  </cols>
  <sheetData>
    <row r="1" spans="1:26" s="1" customFormat="1" ht="42.6" customHeight="1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13</v>
      </c>
      <c r="G1" s="2" t="s">
        <v>7</v>
      </c>
      <c r="H1" s="2" t="s">
        <v>11</v>
      </c>
      <c r="I1" s="2" t="s">
        <v>8</v>
      </c>
      <c r="J1" s="2" t="s">
        <v>9</v>
      </c>
      <c r="K1" s="2" t="s">
        <v>5</v>
      </c>
      <c r="L1" s="2" t="s">
        <v>6</v>
      </c>
      <c r="M1" s="2" t="s">
        <v>63</v>
      </c>
      <c r="N1" s="2" t="s">
        <v>64</v>
      </c>
      <c r="O1" s="2" t="s">
        <v>23</v>
      </c>
      <c r="P1" s="2" t="s">
        <v>10</v>
      </c>
      <c r="Q1" s="2" t="s">
        <v>12</v>
      </c>
      <c r="R1" s="7" t="s">
        <v>14</v>
      </c>
      <c r="S1" s="7" t="s">
        <v>15</v>
      </c>
      <c r="T1" s="8" t="s">
        <v>16</v>
      </c>
      <c r="U1" s="8" t="s">
        <v>17</v>
      </c>
      <c r="V1" s="8" t="s">
        <v>20</v>
      </c>
      <c r="W1" s="8" t="s">
        <v>18</v>
      </c>
      <c r="X1" s="7" t="s">
        <v>21</v>
      </c>
      <c r="Y1" s="7" t="s">
        <v>19</v>
      </c>
      <c r="Z1" s="7" t="s">
        <v>22</v>
      </c>
    </row>
    <row r="2" spans="1:26" s="1" customFormat="1" ht="45" customHeight="1" thickBot="1" x14ac:dyDescent="0.35">
      <c r="A2" s="6">
        <v>1</v>
      </c>
      <c r="B2" s="6" t="s">
        <v>27</v>
      </c>
      <c r="C2" s="15" t="s">
        <v>32</v>
      </c>
      <c r="D2" s="6" t="s">
        <v>93</v>
      </c>
      <c r="E2" s="9" t="s">
        <v>87</v>
      </c>
      <c r="F2" s="9" t="s">
        <v>110</v>
      </c>
      <c r="G2" s="14">
        <v>110000033568</v>
      </c>
      <c r="H2" s="6" t="s">
        <v>112</v>
      </c>
      <c r="I2" s="6" t="s">
        <v>88</v>
      </c>
      <c r="J2" s="6" t="s">
        <v>89</v>
      </c>
      <c r="K2" s="9" t="s">
        <v>84</v>
      </c>
      <c r="L2" s="9" t="s">
        <v>26</v>
      </c>
      <c r="M2" s="6" t="s">
        <v>90</v>
      </c>
      <c r="N2" s="6" t="s">
        <v>91</v>
      </c>
      <c r="O2" s="12" t="s">
        <v>113</v>
      </c>
      <c r="P2" s="16" t="s">
        <v>65</v>
      </c>
      <c r="Q2" s="11"/>
      <c r="R2" s="9" t="s">
        <v>117</v>
      </c>
      <c r="S2" s="6" t="s">
        <v>115</v>
      </c>
      <c r="T2" s="9">
        <v>707983</v>
      </c>
      <c r="U2" s="9">
        <v>3539916</v>
      </c>
      <c r="V2" s="5">
        <f>(0.0826-0.07089)*T2</f>
        <v>8290.4809300000088</v>
      </c>
      <c r="W2" s="5">
        <f>(0.0826-0.07089)*U2</f>
        <v>41452.416360000039</v>
      </c>
      <c r="X2" s="9">
        <v>0</v>
      </c>
      <c r="Y2" s="6">
        <v>0</v>
      </c>
      <c r="Z2" s="10">
        <v>0</v>
      </c>
    </row>
    <row r="3" spans="1:26" s="1" customFormat="1" ht="45" customHeight="1" thickBot="1" x14ac:dyDescent="0.35">
      <c r="A3" s="6">
        <v>2</v>
      </c>
      <c r="B3" s="6" t="s">
        <v>27</v>
      </c>
      <c r="C3" s="15" t="s">
        <v>32</v>
      </c>
      <c r="D3" s="6" t="s">
        <v>93</v>
      </c>
      <c r="E3" s="9" t="s">
        <v>87</v>
      </c>
      <c r="F3" s="9" t="s">
        <v>111</v>
      </c>
      <c r="G3" s="14">
        <v>110000035655</v>
      </c>
      <c r="H3" s="6" t="s">
        <v>92</v>
      </c>
      <c r="I3" s="6" t="s">
        <v>29</v>
      </c>
      <c r="J3" s="6" t="s">
        <v>89</v>
      </c>
      <c r="K3" s="9" t="s">
        <v>84</v>
      </c>
      <c r="L3" s="9" t="s">
        <v>26</v>
      </c>
      <c r="M3" s="6" t="s">
        <v>31</v>
      </c>
      <c r="N3" s="6" t="s">
        <v>30</v>
      </c>
      <c r="O3" s="12" t="s">
        <v>114</v>
      </c>
      <c r="P3" s="16" t="s">
        <v>65</v>
      </c>
      <c r="Q3" s="11"/>
      <c r="R3" s="9" t="s">
        <v>116</v>
      </c>
      <c r="S3" s="6" t="s">
        <v>118</v>
      </c>
      <c r="T3" s="9">
        <v>400646</v>
      </c>
      <c r="U3" s="9">
        <v>2003230</v>
      </c>
      <c r="V3" s="5">
        <f>(0.02-0.02532)*T3</f>
        <v>-2131.4367199999992</v>
      </c>
      <c r="W3" s="5">
        <f>(0.02-0.02532)*U3</f>
        <v>-10657.183599999997</v>
      </c>
      <c r="X3" s="9">
        <v>0</v>
      </c>
      <c r="Y3" s="6">
        <v>0</v>
      </c>
      <c r="Z3" s="10">
        <v>0</v>
      </c>
    </row>
    <row r="4" spans="1:26" s="1" customFormat="1" ht="45" customHeight="1" thickBot="1" x14ac:dyDescent="0.35">
      <c r="A4" s="6">
        <v>3</v>
      </c>
      <c r="B4" s="6" t="s">
        <v>94</v>
      </c>
      <c r="C4" s="6" t="s">
        <v>95</v>
      </c>
      <c r="D4" s="6" t="s">
        <v>96</v>
      </c>
      <c r="E4" s="9" t="s">
        <v>97</v>
      </c>
      <c r="F4" s="9" t="s">
        <v>98</v>
      </c>
      <c r="G4" s="14" t="s">
        <v>99</v>
      </c>
      <c r="H4" s="6" t="s">
        <v>100</v>
      </c>
      <c r="I4" s="6" t="s">
        <v>101</v>
      </c>
      <c r="J4" s="6" t="s">
        <v>102</v>
      </c>
      <c r="K4" s="9" t="s">
        <v>103</v>
      </c>
      <c r="L4" s="9" t="s">
        <v>26</v>
      </c>
      <c r="M4" s="6" t="s">
        <v>104</v>
      </c>
      <c r="N4" s="6" t="s">
        <v>105</v>
      </c>
      <c r="O4" s="20" t="s">
        <v>109</v>
      </c>
      <c r="P4" s="16" t="s">
        <v>65</v>
      </c>
      <c r="Q4" s="11"/>
      <c r="R4" s="9" t="s">
        <v>106</v>
      </c>
      <c r="S4" s="6" t="s">
        <v>107</v>
      </c>
      <c r="T4" s="9">
        <v>3796085</v>
      </c>
      <c r="U4" s="9">
        <v>15184340</v>
      </c>
      <c r="V4" s="5">
        <f>(0.039-0.04)*T4</f>
        <v>-3796.0850000000032</v>
      </c>
      <c r="W4" s="5">
        <f>(0.039-0.04)*U4</f>
        <v>-15184.340000000013</v>
      </c>
      <c r="X4" s="9">
        <v>0</v>
      </c>
      <c r="Y4" s="6" t="s">
        <v>108</v>
      </c>
      <c r="Z4" s="10">
        <f>110273-0</f>
        <v>110273</v>
      </c>
    </row>
    <row r="5" spans="1:26" s="1" customFormat="1" ht="45" customHeight="1" thickBot="1" x14ac:dyDescent="0.35">
      <c r="A5" s="6">
        <v>4</v>
      </c>
      <c r="B5" s="6" t="s">
        <v>27</v>
      </c>
      <c r="C5" s="15" t="s">
        <v>24</v>
      </c>
      <c r="D5" s="15" t="s">
        <v>28</v>
      </c>
      <c r="E5" s="9" t="s">
        <v>33</v>
      </c>
      <c r="F5" s="9" t="s">
        <v>41</v>
      </c>
      <c r="G5" s="14">
        <v>110000034886</v>
      </c>
      <c r="H5" s="6" t="s">
        <v>36</v>
      </c>
      <c r="I5" s="6" t="s">
        <v>35</v>
      </c>
      <c r="J5" s="6" t="s">
        <v>44</v>
      </c>
      <c r="K5" s="9" t="s">
        <v>40</v>
      </c>
      <c r="L5" s="9" t="s">
        <v>26</v>
      </c>
      <c r="M5" s="21">
        <v>406</v>
      </c>
      <c r="N5" s="21">
        <v>4055</v>
      </c>
      <c r="O5" s="18" t="s">
        <v>74</v>
      </c>
      <c r="P5" s="16" t="s">
        <v>34</v>
      </c>
      <c r="Q5" s="6"/>
      <c r="R5" s="9" t="s">
        <v>54</v>
      </c>
      <c r="S5" s="9" t="s">
        <v>55</v>
      </c>
      <c r="T5" s="9">
        <v>25346</v>
      </c>
      <c r="U5" s="9">
        <v>253464</v>
      </c>
      <c r="V5" s="19">
        <f>(0.016-0.025)*T5</f>
        <v>-228.11400000000003</v>
      </c>
      <c r="W5" s="19">
        <f>(0.016-0.025)*U5</f>
        <v>-2281.1760000000004</v>
      </c>
      <c r="X5" s="9" t="s">
        <v>56</v>
      </c>
      <c r="Y5" s="6" t="s">
        <v>58</v>
      </c>
      <c r="Z5" s="10">
        <f>6582-10127</f>
        <v>-3545</v>
      </c>
    </row>
    <row r="6" spans="1:26" s="1" customFormat="1" ht="45" customHeight="1" thickBot="1" x14ac:dyDescent="0.35">
      <c r="A6" s="6">
        <v>5</v>
      </c>
      <c r="B6" s="6" t="s">
        <v>27</v>
      </c>
      <c r="C6" s="15" t="s">
        <v>24</v>
      </c>
      <c r="D6" s="15" t="s">
        <v>28</v>
      </c>
      <c r="E6" s="9" t="s">
        <v>33</v>
      </c>
      <c r="F6" s="9" t="s">
        <v>42</v>
      </c>
      <c r="G6" s="6" t="s">
        <v>37</v>
      </c>
      <c r="H6" s="6" t="s">
        <v>38</v>
      </c>
      <c r="I6" s="6" t="s">
        <v>39</v>
      </c>
      <c r="J6" s="6" t="s">
        <v>44</v>
      </c>
      <c r="K6" s="9" t="s">
        <v>43</v>
      </c>
      <c r="L6" s="9" t="s">
        <v>26</v>
      </c>
      <c r="M6" s="21">
        <v>1901</v>
      </c>
      <c r="N6" s="21">
        <v>19011</v>
      </c>
      <c r="O6" s="18" t="s">
        <v>73</v>
      </c>
      <c r="P6" s="16" t="s">
        <v>34</v>
      </c>
      <c r="Q6" s="6"/>
      <c r="R6" s="9" t="s">
        <v>52</v>
      </c>
      <c r="S6" s="9" t="s">
        <v>53</v>
      </c>
      <c r="T6" s="9">
        <v>88017</v>
      </c>
      <c r="U6" s="9">
        <v>880174</v>
      </c>
      <c r="V6" s="19">
        <f t="shared" ref="V6" si="0">(0.25-0.5)*T6</f>
        <v>-22004.25</v>
      </c>
      <c r="W6" s="19">
        <f t="shared" ref="W6" si="1">(0.25-0.5)*U6</f>
        <v>-220043.5</v>
      </c>
      <c r="X6" s="9" t="s">
        <v>56</v>
      </c>
      <c r="Y6" s="9" t="s">
        <v>57</v>
      </c>
      <c r="Z6" s="10">
        <f>6582-10127</f>
        <v>-3545</v>
      </c>
    </row>
    <row r="7" spans="1:26" s="1" customFormat="1" ht="45" customHeight="1" thickBot="1" x14ac:dyDescent="0.35">
      <c r="A7" s="6">
        <v>6</v>
      </c>
      <c r="B7" s="6" t="s">
        <v>27</v>
      </c>
      <c r="C7" s="15" t="s">
        <v>24</v>
      </c>
      <c r="D7" s="15" t="s">
        <v>28</v>
      </c>
      <c r="E7" s="9" t="s">
        <v>25</v>
      </c>
      <c r="F7" s="9" t="s">
        <v>45</v>
      </c>
      <c r="G7" s="6" t="s">
        <v>46</v>
      </c>
      <c r="H7" s="6" t="s">
        <v>47</v>
      </c>
      <c r="I7" s="6" t="s">
        <v>48</v>
      </c>
      <c r="J7" s="6" t="s">
        <v>49</v>
      </c>
      <c r="K7" s="9" t="s">
        <v>50</v>
      </c>
      <c r="L7" s="9" t="s">
        <v>26</v>
      </c>
      <c r="M7" s="21">
        <v>17473</v>
      </c>
      <c r="N7" s="21">
        <v>103225</v>
      </c>
      <c r="O7" s="18" t="s">
        <v>72</v>
      </c>
      <c r="P7" s="16" t="s">
        <v>65</v>
      </c>
      <c r="Q7" s="11"/>
      <c r="R7" s="9" t="s">
        <v>51</v>
      </c>
      <c r="S7" s="9" t="s">
        <v>75</v>
      </c>
      <c r="T7" s="9">
        <v>88017</v>
      </c>
      <c r="U7" s="9">
        <v>880174</v>
      </c>
      <c r="V7" s="5">
        <f>(0.1173-0.1418)*T7</f>
        <v>-2156.4165000000007</v>
      </c>
      <c r="W7" s="5">
        <f>(0.1173-0.1418)*U7</f>
        <v>-21564.263000000006</v>
      </c>
      <c r="X7" s="9" t="s">
        <v>60</v>
      </c>
      <c r="Y7" s="9" t="s">
        <v>59</v>
      </c>
      <c r="Z7" s="17">
        <f>9532-19873</f>
        <v>-10341</v>
      </c>
    </row>
    <row r="8" spans="1:26" s="1" customFormat="1" ht="58.8" customHeight="1" thickBot="1" x14ac:dyDescent="0.35">
      <c r="A8" s="6">
        <v>7</v>
      </c>
      <c r="B8" s="6" t="s">
        <v>27</v>
      </c>
      <c r="C8" s="15" t="s">
        <v>24</v>
      </c>
      <c r="D8" s="15" t="s">
        <v>28</v>
      </c>
      <c r="E8" s="9" t="s">
        <v>25</v>
      </c>
      <c r="F8" s="9" t="s">
        <v>45</v>
      </c>
      <c r="G8" s="6" t="s">
        <v>61</v>
      </c>
      <c r="H8" s="6" t="s">
        <v>80</v>
      </c>
      <c r="I8" s="6" t="s">
        <v>81</v>
      </c>
      <c r="J8" s="6" t="s">
        <v>82</v>
      </c>
      <c r="K8" s="9" t="s">
        <v>50</v>
      </c>
      <c r="L8" s="9" t="s">
        <v>26</v>
      </c>
      <c r="M8" s="21">
        <v>7878</v>
      </c>
      <c r="N8" s="21">
        <v>47805</v>
      </c>
      <c r="O8" s="18" t="s">
        <v>70</v>
      </c>
      <c r="P8" s="16" t="s">
        <v>65</v>
      </c>
      <c r="Q8" s="11"/>
      <c r="R8" s="9" t="s">
        <v>66</v>
      </c>
      <c r="S8" s="9" t="s">
        <v>67</v>
      </c>
      <c r="T8" s="9">
        <v>28163</v>
      </c>
      <c r="U8" s="9">
        <v>253464</v>
      </c>
      <c r="V8" s="5">
        <f>(1.49-1.92)*T8</f>
        <v>-12110.089999999998</v>
      </c>
      <c r="W8" s="5">
        <f>(1.49-1.92)*U8</f>
        <v>-108989.51999999999</v>
      </c>
      <c r="X8" s="9" t="s">
        <v>69</v>
      </c>
      <c r="Y8" s="9" t="s">
        <v>68</v>
      </c>
      <c r="Z8" s="17">
        <f>17722-18987</f>
        <v>-1265</v>
      </c>
    </row>
    <row r="9" spans="1:26" s="1" customFormat="1" ht="45" customHeight="1" thickBot="1" x14ac:dyDescent="0.35">
      <c r="A9" s="6">
        <v>8</v>
      </c>
      <c r="B9" s="6" t="s">
        <v>27</v>
      </c>
      <c r="C9" s="15" t="s">
        <v>24</v>
      </c>
      <c r="D9" s="15" t="s">
        <v>28</v>
      </c>
      <c r="E9" s="9" t="s">
        <v>25</v>
      </c>
      <c r="F9" s="9" t="s">
        <v>45</v>
      </c>
      <c r="G9" s="6" t="s">
        <v>62</v>
      </c>
      <c r="H9" s="6" t="s">
        <v>79</v>
      </c>
      <c r="I9" s="6" t="s">
        <v>78</v>
      </c>
      <c r="J9" s="6" t="s">
        <v>83</v>
      </c>
      <c r="K9" s="9" t="s">
        <v>84</v>
      </c>
      <c r="L9" s="9" t="s">
        <v>26</v>
      </c>
      <c r="M9" s="9">
        <v>23042</v>
      </c>
      <c r="N9" s="9">
        <v>253464</v>
      </c>
      <c r="O9" s="18" t="s">
        <v>71</v>
      </c>
      <c r="P9" s="16" t="s">
        <v>65</v>
      </c>
      <c r="Q9" s="11"/>
      <c r="R9" s="9" t="s">
        <v>76</v>
      </c>
      <c r="S9" s="9" t="s">
        <v>77</v>
      </c>
      <c r="T9" s="9">
        <v>23042</v>
      </c>
      <c r="U9" s="9">
        <v>253464</v>
      </c>
      <c r="V9" s="5">
        <f>(0.2065-0.2075)*T9</f>
        <v>-23.042000000000019</v>
      </c>
      <c r="W9" s="5">
        <f>(0.2065-0.2075)*U9</f>
        <v>-253.46400000000023</v>
      </c>
      <c r="X9" s="9" t="s">
        <v>85</v>
      </c>
      <c r="Y9" s="9" t="s">
        <v>86</v>
      </c>
      <c r="Z9" s="17">
        <f>10625-41500</f>
        <v>-30875</v>
      </c>
    </row>
    <row r="10" spans="1:26" s="1" customFormat="1" ht="45" customHeight="1" thickBot="1" x14ac:dyDescent="0.35">
      <c r="A10" s="6"/>
      <c r="B10" s="6"/>
      <c r="C10" s="6"/>
      <c r="D10" s="6"/>
      <c r="E10" s="9"/>
      <c r="F10" s="9"/>
      <c r="G10" s="14"/>
      <c r="H10" s="6"/>
      <c r="I10" s="6"/>
      <c r="J10" s="6"/>
      <c r="K10" s="9"/>
      <c r="L10" s="9"/>
      <c r="M10" s="6"/>
      <c r="N10" s="6"/>
      <c r="O10" s="12"/>
      <c r="P10" s="13"/>
      <c r="Q10" s="11"/>
      <c r="R10" s="9"/>
      <c r="S10" s="6"/>
      <c r="T10" s="9"/>
      <c r="U10" s="9"/>
      <c r="V10" s="5"/>
      <c r="W10" s="5"/>
      <c r="X10" s="9"/>
      <c r="Y10" s="6"/>
      <c r="Z10" s="10"/>
    </row>
    <row r="11" spans="1:26" s="1" customFormat="1" ht="42.6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1" customFormat="1" ht="42.6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1" customFormat="1" ht="42.6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1" customFormat="1" ht="42.6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1" customFormat="1" ht="42.6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1" customFormat="1" ht="42.6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1" customFormat="1" ht="42.6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1" customFormat="1" ht="42.6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1" customFormat="1" ht="42.6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1" customFormat="1" ht="42.6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1" customFormat="1" ht="42.6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1" customFormat="1" ht="42.6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1" customFormat="1" ht="42.6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1" customFormat="1" ht="42.6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1" customFormat="1" ht="42.6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1" customFormat="1" ht="42.6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</sheetData>
  <phoneticPr fontId="6" type="noConversion"/>
  <conditionalFormatting sqref="V1 Z1:Z3 Z5:Z1048576">
    <cfRule type="cellIs" dxfId="12" priority="25" operator="lessThan">
      <formula>0</formula>
    </cfRule>
  </conditionalFormatting>
  <conditionalFormatting sqref="V11:V1048576">
    <cfRule type="cellIs" dxfId="11" priority="96" operator="lessThan">
      <formula>0</formula>
    </cfRule>
  </conditionalFormatting>
  <conditionalFormatting sqref="V5:W10">
    <cfRule type="cellIs" dxfId="10" priority="18" operator="greaterThan">
      <formula>0</formula>
    </cfRule>
    <cfRule type="cellIs" dxfId="9" priority="19" operator="lessThan">
      <formula>0</formula>
    </cfRule>
  </conditionalFormatting>
  <conditionalFormatting sqref="Z2:Z3 Z5:Z10">
    <cfRule type="cellIs" dxfId="8" priority="22" operator="greaterThan">
      <formula>0</formula>
    </cfRule>
  </conditionalFormatting>
  <conditionalFormatting sqref="V3:W3">
    <cfRule type="cellIs" dxfId="7" priority="11" operator="greaterThan">
      <formula>0</formula>
    </cfRule>
    <cfRule type="cellIs" dxfId="6" priority="12" operator="lessThan">
      <formula>0</formula>
    </cfRule>
  </conditionalFormatting>
  <conditionalFormatting sqref="V2:W2">
    <cfRule type="cellIs" dxfId="5" priority="9" operator="greaterThan">
      <formula>0</formula>
    </cfRule>
    <cfRule type="cellIs" dxfId="4" priority="10" operator="lessThan">
      <formula>0</formula>
    </cfRule>
  </conditionalFormatting>
  <conditionalFormatting sqref="V4:W4">
    <cfRule type="cellIs" dxfId="3" priority="1" operator="greaterThan">
      <formula>0</formula>
    </cfRule>
    <cfRule type="cellIs" dxfId="2" priority="2" operator="lessThan">
      <formula>0</formula>
    </cfRule>
  </conditionalFormatting>
  <conditionalFormatting sqref="Z4">
    <cfRule type="cellIs" dxfId="1" priority="4" operator="lessThan">
      <formula>0</formula>
    </cfRule>
  </conditionalFormatting>
  <conditionalFormatting sqref="Z4"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  <customPr name="Ibp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10" ma:contentTypeDescription="Ein neues Dokument erstellen." ma:contentTypeScope="" ma:versionID="728a42373757fe19dbf32cb01accea12">
  <xsd:schema xmlns:xsd="http://www.w3.org/2001/XMLSchema" xmlns:xs="http://www.w3.org/2001/XMLSchema" xmlns:p="http://schemas.microsoft.com/office/2006/metadata/properties" xmlns:ns2="c58f02bd-e0b7-474b-a2bc-9a19f162f3a8" xmlns:ns3="b7d00205-0ffb-4bc2-b18e-b800942d8fea" targetNamespace="http://schemas.microsoft.com/office/2006/metadata/properties" ma:root="true" ma:fieldsID="86d1219d07439347edf1a7dd06578600" ns2:_="" ns3:_="">
    <xsd:import namespace="c58f02bd-e0b7-474b-a2bc-9a19f162f3a8"/>
    <xsd:import namespace="b7d00205-0ffb-4bc2-b18e-b800942d8f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2c1abb6-7528-48c8-bade-a0efe80568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d00205-0ffb-4bc2-b18e-b800942d8fe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0f941d5-66b0-4dcf-b0f6-17179381c1ce}" ma:internalName="TaxCatchAll" ma:showField="CatchAllData" ma:web="b7d00205-0ffb-4bc2-b18e-b800942d8f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7d00205-0ffb-4bc2-b18e-b800942d8fea" xsi:nil="true"/>
    <lcf76f155ced4ddcb4097134ff3c332f xmlns="c58f02bd-e0b7-474b-a2bc-9a19f162f3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DE428D-73B6-4715-9C9F-D25789434229}"/>
</file>

<file path=customXml/itemProps2.xml><?xml version="1.0" encoding="utf-8"?>
<ds:datastoreItem xmlns:ds="http://schemas.openxmlformats.org/officeDocument/2006/customXml" ds:itemID="{5C3C3584-6296-4399-9452-F8C1F88F7B8E}"/>
</file>

<file path=customXml/itemProps3.xml><?xml version="1.0" encoding="utf-8"?>
<ds:datastoreItem xmlns:ds="http://schemas.openxmlformats.org/officeDocument/2006/customXml" ds:itemID="{7BE830BC-E37B-4D11-81B7-8C17B6B9730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KW38, 2026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2026-09-15T18:46:23Z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IbpWorkbookKeyString_GUID">
    <vt:lpwstr>38fc2b40-ce9d-4aa7-a82c-e708adc4547a</vt:lpwstr>
  </property>
  <property fmtid="{D5CDD505-2E9C-101B-9397-08002B2CF9AE}" pid="10" name="ContentTypeId">
    <vt:lpwstr>0x010100D2AE94798D0E7D4487CB84FC9A87565D</vt:lpwstr>
  </property>
</Properties>
</file>