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29, 15.07.2026/"/>
    </mc:Choice>
  </mc:AlternateContent>
  <xr:revisionPtr revIDLastSave="0" documentId="8_{42163846-C014-47AF-BE49-B2BC02F59E81}" xr6:coauthVersionLast="47" xr6:coauthVersionMax="47" xr10:uidLastSave="{00000000-0000-0000-0000-000000000000}"/>
  <bookViews>
    <workbookView xWindow="28680" yWindow="-120" windowWidth="29040" windowHeight="15720" xr2:uid="{00000000-000D-0000-FFFF-FFFF00000000}"/>
  </bookViews>
  <sheets>
    <sheet name="KW29, 2026"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 i="4" l="1"/>
  <c r="Z6" i="4"/>
  <c r="W6" i="4"/>
  <c r="V6" i="4"/>
  <c r="W5" i="4"/>
  <c r="V5" i="4"/>
  <c r="Z4" i="4"/>
  <c r="W4" i="4"/>
  <c r="V4" i="4"/>
  <c r="Z2" i="4"/>
  <c r="W2" i="4"/>
  <c r="V2" i="4"/>
  <c r="Z3" i="4"/>
  <c r="W3" i="4"/>
  <c r="V3" i="4"/>
</calcChain>
</file>

<file path=xl/sharedStrings.xml><?xml version="1.0" encoding="utf-8"?>
<sst xmlns="http://schemas.openxmlformats.org/spreadsheetml/2006/main" count="112" uniqueCount="86">
  <si>
    <t>#</t>
  </si>
  <si>
    <t>Region</t>
  </si>
  <si>
    <t>Type</t>
  </si>
  <si>
    <t>Project/ Product</t>
  </si>
  <si>
    <t>Commodity</t>
  </si>
  <si>
    <t>Parent PF Code</t>
  </si>
  <si>
    <t>SWAT ID / Bundle ID</t>
  </si>
  <si>
    <t>Part Description</t>
  </si>
  <si>
    <t>PN</t>
  </si>
  <si>
    <t>Recommended Supplier (s)</t>
  </si>
  <si>
    <t>Presenter</t>
  </si>
  <si>
    <t>Decision Level</t>
  </si>
  <si>
    <t>Peak Year Spend</t>
  </si>
  <si>
    <t xml:space="preserve">LT Spend </t>
  </si>
  <si>
    <t>Comment</t>
  </si>
  <si>
    <t xml:space="preserve">Sourcing Decision </t>
  </si>
  <si>
    <t>Notes/Task/ Resp./ Due Date</t>
  </si>
  <si>
    <t>CQA PC PRICE</t>
  </si>
  <si>
    <t>Rec. Supplier Landed</t>
  </si>
  <si>
    <t>Average Volume</t>
  </si>
  <si>
    <t>LT volume</t>
  </si>
  <si>
    <t>Average Year Saving vs CQA</t>
  </si>
  <si>
    <t>LT saving</t>
  </si>
  <si>
    <t>CQA Tooling</t>
  </si>
  <si>
    <t xml:space="preserve">Rec. Supplier Tooling </t>
  </si>
  <si>
    <t>Tooling Saving vs CQA</t>
  </si>
  <si>
    <t>EU</t>
  </si>
  <si>
    <t>GCS</t>
  </si>
  <si>
    <t>SPR8</t>
  </si>
  <si>
    <t>SC06</t>
  </si>
  <si>
    <t>SC06005</t>
  </si>
  <si>
    <t>110000034852</t>
  </si>
  <si>
    <t>WAVE DISC 35x1.0</t>
  </si>
  <si>
    <t>34205689B</t>
  </si>
  <si>
    <t>Zhejiang Jinrong New Energy</t>
  </si>
  <si>
    <t>Tracy Hu</t>
  </si>
  <si>
    <t>L3</t>
  </si>
  <si>
    <t>176K Euro</t>
  </si>
  <si>
    <t>788K Euro</t>
  </si>
  <si>
    <t xml:space="preserve">1. GCS from G.Rau (Seitz) to Jinrong
2. Tooling to be paid through amortization </t>
  </si>
  <si>
    <t>Approved</t>
  </si>
  <si>
    <t xml:space="preserve">1. To double check global volume forecast and supplier committed capa--BU buyer Alicia
2. To double check NA remaining PNs and their sourcing strategy, whether we can have them localized to NA suppleirs. 
To define global volume share, to further clarify the volume shift for EU is 100% or partial switch?--BU buyer Alicia
</t>
  </si>
  <si>
    <t>0,2846 Euro/pc</t>
  </si>
  <si>
    <t>0,2172 Euro/pc</t>
  </si>
  <si>
    <t>SC06003</t>
  </si>
  <si>
    <t>110000034524</t>
  </si>
  <si>
    <t>Ring</t>
  </si>
  <si>
    <t>34211605B</t>
  </si>
  <si>
    <t>Suzhou AMP Precision Manufacturing</t>
  </si>
  <si>
    <t>439K Euro</t>
  </si>
  <si>
    <t>1,2 Mio Euro</t>
  </si>
  <si>
    <t xml:space="preserve">1. GCS from G.Rau (Seitz) to AMP
</t>
  </si>
  <si>
    <t>0,2302 Euro/pc</t>
  </si>
  <si>
    <t>0,1431 Euro/pc</t>
  </si>
  <si>
    <t>110000034521</t>
  </si>
  <si>
    <t>WAVE DISC 1.0 36</t>
  </si>
  <si>
    <t>34237486B</t>
  </si>
  <si>
    <t>282K Euro</t>
  </si>
  <si>
    <t>1,3 Mio Euro</t>
  </si>
  <si>
    <t>0,2847 Euro/pc</t>
  </si>
  <si>
    <t>0,2261 Euro/pc</t>
  </si>
  <si>
    <t>EU
(AP)</t>
  </si>
  <si>
    <t>Carry Over</t>
  </si>
  <si>
    <t>MB V530</t>
  </si>
  <si>
    <t>EA 03</t>
  </si>
  <si>
    <t>EA03003</t>
  </si>
  <si>
    <t>B/2026/00224
110000034628</t>
  </si>
  <si>
    <t>Heating wire</t>
  </si>
  <si>
    <t>R000D116A</t>
  </si>
  <si>
    <t>Elektrisola</t>
  </si>
  <si>
    <t>Sergio Abalde</t>
  </si>
  <si>
    <t>76K Euro</t>
  </si>
  <si>
    <t>388K Euro</t>
  </si>
  <si>
    <t>1. Receiving plant would be changed to Weihai soon</t>
  </si>
  <si>
    <t>To be followed up</t>
  </si>
  <si>
    <t>1. Landed cost to be calcualted and shared by Weihai -- Logistic Ellen
2. To better understand the cost structure of the heat wire, also to prepare ourselves for future cost adjustment -- SP Sergio, to involve CE in case necessary
3. To negotiate FCA TTOP with Elektrisola -- SP Sergio, Logistic Ellen</t>
  </si>
  <si>
    <t>581,15 Euro/kg</t>
  </si>
  <si>
    <t>547,07 Euro/kg</t>
  </si>
  <si>
    <t>102kg</t>
  </si>
  <si>
    <t>711kg</t>
  </si>
  <si>
    <t>MB BR223_V297</t>
  </si>
  <si>
    <t>B/2026/00224
110000034629</t>
  </si>
  <si>
    <t>225K Euro</t>
  </si>
  <si>
    <t>563K Euro</t>
  </si>
  <si>
    <t>344kg</t>
  </si>
  <si>
    <t>1033kg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</si>
</sst>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quot;€&quot;_-;\-* #,##0.00\ &quot;€&quot;_-;_-* &quot;-&quot;??\ &quot;€&quot;_-;_-@_-"/>
    <numFmt numFmtId="165" formatCode="#,##0\ [$€-407];\-#,##0\ [$€-407]"/>
  </numFmts>
  <fonts count="8">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b/>
      <sz val="8"/>
      <color theme="5"/>
      <name val="Arial"/>
      <family val="2"/>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11">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rgb="FFFFFFFF"/>
      </left>
      <right style="medium">
        <color theme="0"/>
      </right>
      <top style="medium">
        <color theme="0"/>
      </top>
      <bottom/>
      <diagonal/>
    </border>
    <border>
      <left style="medium">
        <color rgb="FFFFFFFF"/>
      </left>
      <right style="medium">
        <color theme="0"/>
      </right>
      <top/>
      <bottom style="medium">
        <color theme="0"/>
      </bottom>
      <diagonal/>
    </border>
    <border>
      <left style="medium">
        <color rgb="FFFFFFFF"/>
      </left>
      <right style="medium">
        <color rgb="FFFFFFFF"/>
      </right>
      <top style="medium">
        <color theme="0"/>
      </top>
      <bottom/>
      <diagonal/>
    </border>
    <border>
      <left style="medium">
        <color rgb="FFFFFFFF"/>
      </left>
      <right style="medium">
        <color rgb="FFFFFFFF"/>
      </right>
      <top/>
      <bottom style="medium">
        <color theme="0"/>
      </bottom>
      <diagonal/>
    </border>
    <border>
      <left style="medium">
        <color rgb="FFFFFFFF"/>
      </left>
      <right style="medium">
        <color theme="0"/>
      </right>
      <top/>
      <bottom/>
      <diagonal/>
    </border>
  </borders>
  <cellStyleXfs count="2">
    <xf numFmtId="0" fontId="0" fillId="0" borderId="0"/>
    <xf numFmtId="0" fontId="3" fillId="5" borderId="0" applyNumberFormat="0" applyBorder="0" applyAlignment="0" applyProtection="0"/>
  </cellStyleXfs>
  <cellXfs count="29">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5"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16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0" fontId="5" fillId="3" borderId="3" xfId="0" quotePrefix="1" applyFont="1" applyFill="1" applyBorder="1" applyAlignment="1">
      <alignment horizontal="center" vertical="center" wrapText="1" readingOrder="1"/>
    </xf>
    <xf numFmtId="1" fontId="1" fillId="3" borderId="3" xfId="0" quotePrefix="1" applyNumberFormat="1" applyFont="1" applyFill="1" applyBorder="1" applyAlignment="1">
      <alignment horizontal="center" vertical="center" wrapText="1" readingOrder="1"/>
    </xf>
    <xf numFmtId="4" fontId="1" fillId="3" borderId="3" xfId="0" quotePrefix="1" applyNumberFormat="1" applyFont="1" applyFill="1" applyBorder="1" applyAlignment="1">
      <alignment horizontal="center" vertical="center" wrapText="1" readingOrder="1"/>
    </xf>
    <xf numFmtId="3" fontId="1" fillId="3" borderId="6" xfId="0" quotePrefix="1" applyNumberFormat="1" applyFont="1" applyFill="1" applyBorder="1" applyAlignment="1">
      <alignment horizontal="left" vertical="center" wrapText="1" readingOrder="1"/>
    </xf>
    <xf numFmtId="3" fontId="1" fillId="3" borderId="7" xfId="0" quotePrefix="1" applyNumberFormat="1" applyFont="1" applyFill="1" applyBorder="1" applyAlignment="1">
      <alignment horizontal="left" vertical="center" wrapText="1" readingOrder="1"/>
    </xf>
    <xf numFmtId="0" fontId="7" fillId="3" borderId="8" xfId="0" quotePrefix="1" applyFont="1" applyFill="1" applyBorder="1" applyAlignment="1">
      <alignment horizontal="center" vertical="center" wrapText="1" readingOrder="1"/>
    </xf>
    <xf numFmtId="0" fontId="7" fillId="3" borderId="9" xfId="0" quotePrefix="1" applyFont="1" applyFill="1" applyBorder="1" applyAlignment="1">
      <alignment horizontal="center" vertical="center" wrapText="1" readingOrder="1"/>
    </xf>
    <xf numFmtId="3" fontId="1" fillId="3" borderId="10" xfId="0" quotePrefix="1" applyNumberFormat="1" applyFont="1" applyFill="1" applyBorder="1" applyAlignment="1">
      <alignment horizontal="left" vertical="center" wrapText="1" readingOrder="1"/>
    </xf>
    <xf numFmtId="0" fontId="1" fillId="3" borderId="4"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3" fontId="1" fillId="3" borderId="6" xfId="0" quotePrefix="1" applyNumberFormat="1" applyFont="1" applyFill="1" applyBorder="1" applyAlignment="1">
      <alignment horizontal="center" vertical="center" wrapText="1" readingOrder="1"/>
    </xf>
    <xf numFmtId="3" fontId="1" fillId="3" borderId="7" xfId="0" quotePrefix="1" applyNumberFormat="1" applyFont="1" applyFill="1" applyBorder="1" applyAlignment="1">
      <alignment horizontal="center" vertical="center" wrapText="1" readingOrder="1"/>
    </xf>
    <xf numFmtId="0" fontId="1" fillId="3" borderId="8" xfId="0" quotePrefix="1" applyFont="1" applyFill="1" applyBorder="1" applyAlignment="1">
      <alignment horizontal="center" vertical="center" wrapText="1" readingOrder="1"/>
    </xf>
    <xf numFmtId="0" fontId="1" fillId="3" borderId="9" xfId="0" quotePrefix="1" applyFont="1" applyFill="1" applyBorder="1" applyAlignment="1">
      <alignment horizontal="center" vertical="center" wrapText="1" readingOrder="1"/>
    </xf>
    <xf numFmtId="3" fontId="1" fillId="3" borderId="4" xfId="0" quotePrefix="1" applyNumberFormat="1" applyFont="1" applyFill="1" applyBorder="1" applyAlignment="1">
      <alignment horizontal="center" vertical="center" wrapText="1" readingOrder="1"/>
    </xf>
    <xf numFmtId="3" fontId="1" fillId="3" borderId="5" xfId="0" quotePrefix="1" applyNumberFormat="1" applyFont="1" applyFill="1" applyBorder="1" applyAlignment="1">
      <alignment horizontal="center" vertical="center" wrapText="1" readingOrder="1"/>
    </xf>
  </cellXfs>
  <cellStyles count="2">
    <cellStyle name="Good" xfId="1" builtinId="26"/>
    <cellStyle name="Normal" xfId="0" builtinId="0"/>
  </cellStyles>
  <dxfs count="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25"/>
  <sheetViews>
    <sheetView tabSelected="1" zoomScale="115" zoomScaleNormal="115" workbookViewId="0">
      <selection activeCell="Q5" sqref="A1:Q6"/>
    </sheetView>
  </sheetViews>
  <sheetFormatPr defaultColWidth="9.140625" defaultRowHeight="14.45"/>
  <cols>
    <col min="1" max="3" width="8.85546875" style="4"/>
    <col min="4" max="4" width="13.140625" style="4" customWidth="1"/>
    <col min="5" max="5" width="11.5703125" style="4" customWidth="1"/>
    <col min="6" max="6" width="11.140625" style="4" customWidth="1"/>
    <col min="7" max="7" width="20.7109375" style="4" customWidth="1"/>
    <col min="8" max="8" width="10.85546875" style="4" customWidth="1"/>
    <col min="9" max="9" width="13.85546875" style="4" customWidth="1"/>
    <col min="10" max="10" width="14.42578125" style="4" customWidth="1"/>
    <col min="11" max="11" width="10.140625" style="4" customWidth="1"/>
    <col min="12" max="12" width="9.140625" style="4"/>
    <col min="13" max="13" width="12" style="4" customWidth="1"/>
    <col min="14" max="14" width="11.28515625" style="4" customWidth="1"/>
    <col min="15" max="15" width="23.140625" style="4" customWidth="1"/>
    <col min="16" max="16" width="17.140625" style="4" customWidth="1"/>
    <col min="17" max="17" width="30.42578125" style="4" customWidth="1"/>
    <col min="18" max="18" width="12.42578125" style="4" customWidth="1"/>
    <col min="19" max="19" width="13.140625" style="4" customWidth="1"/>
    <col min="20" max="22" width="10.85546875" style="4" customWidth="1"/>
    <col min="23" max="23" width="12.140625" style="4" bestFit="1" customWidth="1"/>
    <col min="24" max="26" width="10.85546875" style="4" customWidth="1"/>
  </cols>
  <sheetData>
    <row r="1" spans="1:26" s="1" customFormat="1" ht="42.6" customHeight="1" thickBo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7" t="s">
        <v>17</v>
      </c>
      <c r="S1" s="7" t="s">
        <v>18</v>
      </c>
      <c r="T1" s="8" t="s">
        <v>19</v>
      </c>
      <c r="U1" s="8" t="s">
        <v>20</v>
      </c>
      <c r="V1" s="8" t="s">
        <v>21</v>
      </c>
      <c r="W1" s="8" t="s">
        <v>22</v>
      </c>
      <c r="X1" s="7" t="s">
        <v>23</v>
      </c>
      <c r="Y1" s="7" t="s">
        <v>24</v>
      </c>
      <c r="Z1" s="7" t="s">
        <v>25</v>
      </c>
    </row>
    <row r="2" spans="1:26" s="1" customFormat="1" ht="135.6" customHeight="1" thickBot="1">
      <c r="A2" s="6">
        <v>1</v>
      </c>
      <c r="B2" s="6" t="s">
        <v>26</v>
      </c>
      <c r="C2" s="6" t="s">
        <v>27</v>
      </c>
      <c r="D2" s="6" t="s">
        <v>28</v>
      </c>
      <c r="E2" s="9" t="s">
        <v>29</v>
      </c>
      <c r="F2" s="9" t="s">
        <v>30</v>
      </c>
      <c r="G2" s="6" t="s">
        <v>31</v>
      </c>
      <c r="H2" s="6" t="s">
        <v>32</v>
      </c>
      <c r="I2" s="6" t="s">
        <v>33</v>
      </c>
      <c r="J2" s="6" t="s">
        <v>34</v>
      </c>
      <c r="K2" s="9" t="s">
        <v>35</v>
      </c>
      <c r="L2" s="9" t="s">
        <v>36</v>
      </c>
      <c r="M2" s="6" t="s">
        <v>37</v>
      </c>
      <c r="N2" s="6" t="s">
        <v>38</v>
      </c>
      <c r="O2" s="12" t="s">
        <v>39</v>
      </c>
      <c r="P2" s="13" t="s">
        <v>40</v>
      </c>
      <c r="Q2" s="16" t="s">
        <v>41</v>
      </c>
      <c r="R2" s="9" t="s">
        <v>42</v>
      </c>
      <c r="S2" s="9" t="s">
        <v>43</v>
      </c>
      <c r="T2" s="9">
        <v>725361</v>
      </c>
      <c r="U2" s="9">
        <v>3626803</v>
      </c>
      <c r="V2" s="5">
        <f>(0.2172-0.2846)*T2</f>
        <v>-48889.33140000001</v>
      </c>
      <c r="W2" s="5">
        <f>(0.2172-0.2846)*U2</f>
        <v>-244446.52220000006</v>
      </c>
      <c r="X2" s="9">
        <v>0</v>
      </c>
      <c r="Y2" s="6">
        <v>0</v>
      </c>
      <c r="Z2" s="10">
        <f>Y2-X2</f>
        <v>0</v>
      </c>
    </row>
    <row r="3" spans="1:26" s="1" customFormat="1" ht="66" customHeight="1" thickBot="1">
      <c r="A3" s="6">
        <v>2</v>
      </c>
      <c r="B3" s="6" t="s">
        <v>26</v>
      </c>
      <c r="C3" s="6" t="s">
        <v>27</v>
      </c>
      <c r="D3" s="6" t="s">
        <v>28</v>
      </c>
      <c r="E3" s="9" t="s">
        <v>29</v>
      </c>
      <c r="F3" s="9" t="s">
        <v>44</v>
      </c>
      <c r="G3" s="6" t="s">
        <v>45</v>
      </c>
      <c r="H3" s="6" t="s">
        <v>46</v>
      </c>
      <c r="I3" s="6" t="s">
        <v>47</v>
      </c>
      <c r="J3" s="6" t="s">
        <v>48</v>
      </c>
      <c r="K3" s="9" t="s">
        <v>35</v>
      </c>
      <c r="L3" s="9" t="s">
        <v>36</v>
      </c>
      <c r="M3" s="6" t="s">
        <v>49</v>
      </c>
      <c r="N3" s="6" t="s">
        <v>50</v>
      </c>
      <c r="O3" s="12" t="s">
        <v>51</v>
      </c>
      <c r="P3" s="13" t="s">
        <v>40</v>
      </c>
      <c r="Q3" s="20"/>
      <c r="R3" s="9" t="s">
        <v>52</v>
      </c>
      <c r="S3" s="9" t="s">
        <v>53</v>
      </c>
      <c r="T3" s="9">
        <v>2855475</v>
      </c>
      <c r="U3" s="9">
        <v>8566425</v>
      </c>
      <c r="V3" s="5">
        <f>(0.1431-0.2302)*T3</f>
        <v>-248711.87249999994</v>
      </c>
      <c r="W3" s="5">
        <f>(0.1431-0.2302)*U3</f>
        <v>-746135.61749999982</v>
      </c>
      <c r="X3" s="9">
        <v>0</v>
      </c>
      <c r="Y3" s="6">
        <v>0</v>
      </c>
      <c r="Z3" s="10">
        <f>Y3-X3</f>
        <v>0</v>
      </c>
    </row>
    <row r="4" spans="1:26" s="1" customFormat="1" ht="53.45" customHeight="1" thickBot="1">
      <c r="A4" s="6">
        <v>3</v>
      </c>
      <c r="B4" s="6" t="s">
        <v>26</v>
      </c>
      <c r="C4" s="6" t="s">
        <v>27</v>
      </c>
      <c r="D4" s="6" t="s">
        <v>28</v>
      </c>
      <c r="E4" s="9" t="s">
        <v>29</v>
      </c>
      <c r="F4" s="9" t="s">
        <v>44</v>
      </c>
      <c r="G4" s="6" t="s">
        <v>54</v>
      </c>
      <c r="H4" s="6" t="s">
        <v>55</v>
      </c>
      <c r="I4" s="6" t="s">
        <v>56</v>
      </c>
      <c r="J4" s="6" t="s">
        <v>34</v>
      </c>
      <c r="K4" s="9" t="s">
        <v>35</v>
      </c>
      <c r="L4" s="9" t="s">
        <v>36</v>
      </c>
      <c r="M4" s="15" t="s">
        <v>57</v>
      </c>
      <c r="N4" s="6" t="s">
        <v>58</v>
      </c>
      <c r="O4" s="12" t="s">
        <v>39</v>
      </c>
      <c r="P4" s="13" t="s">
        <v>40</v>
      </c>
      <c r="Q4" s="17"/>
      <c r="R4" s="9" t="s">
        <v>59</v>
      </c>
      <c r="S4" s="9" t="s">
        <v>60</v>
      </c>
      <c r="T4" s="9">
        <v>1118272</v>
      </c>
      <c r="U4" s="9">
        <v>5591361</v>
      </c>
      <c r="V4" s="5">
        <f>(0.2261-0.2847)*T4</f>
        <v>-65530.739200000018</v>
      </c>
      <c r="W4" s="5">
        <f>(0.2261-0.2847)*U4</f>
        <v>-327653.7546000001</v>
      </c>
      <c r="X4" s="9">
        <v>0</v>
      </c>
      <c r="Y4" s="6">
        <v>0</v>
      </c>
      <c r="Z4" s="10">
        <f>Y4-X4</f>
        <v>0</v>
      </c>
    </row>
    <row r="5" spans="1:26" s="1" customFormat="1" ht="45.6" customHeight="1" thickBot="1">
      <c r="A5" s="21">
        <v>4</v>
      </c>
      <c r="B5" s="21" t="s">
        <v>61</v>
      </c>
      <c r="C5" s="6" t="s">
        <v>62</v>
      </c>
      <c r="D5" s="6" t="s">
        <v>63</v>
      </c>
      <c r="E5" s="9" t="s">
        <v>64</v>
      </c>
      <c r="F5" s="9" t="s">
        <v>65</v>
      </c>
      <c r="G5" s="14" t="s">
        <v>66</v>
      </c>
      <c r="H5" s="6" t="s">
        <v>67</v>
      </c>
      <c r="I5" s="6" t="s">
        <v>68</v>
      </c>
      <c r="J5" s="25" t="s">
        <v>69</v>
      </c>
      <c r="K5" s="23" t="s">
        <v>70</v>
      </c>
      <c r="L5" s="27" t="s">
        <v>36</v>
      </c>
      <c r="M5" s="6" t="s">
        <v>71</v>
      </c>
      <c r="N5" s="9" t="s">
        <v>72</v>
      </c>
      <c r="O5" s="12" t="s">
        <v>73</v>
      </c>
      <c r="P5" s="18" t="s">
        <v>74</v>
      </c>
      <c r="Q5" s="16" t="s">
        <v>75</v>
      </c>
      <c r="R5" s="9" t="s">
        <v>76</v>
      </c>
      <c r="S5" s="6" t="s">
        <v>77</v>
      </c>
      <c r="T5" s="9" t="s">
        <v>78</v>
      </c>
      <c r="U5" s="9" t="s">
        <v>79</v>
      </c>
      <c r="V5" s="5">
        <f>(545.32-581.15)*102</f>
        <v>-3654.6599999999926</v>
      </c>
      <c r="W5" s="5">
        <f>(545.32-581.15)*711</f>
        <v>-25475.129999999946</v>
      </c>
      <c r="X5" s="9">
        <v>0</v>
      </c>
      <c r="Y5" s="6">
        <v>0</v>
      </c>
      <c r="Z5" s="10">
        <f t="shared" ref="Z5:Z6" si="0">Y5-X5</f>
        <v>0</v>
      </c>
    </row>
    <row r="6" spans="1:26" s="1" customFormat="1" ht="50.45" customHeight="1" thickBot="1">
      <c r="A6" s="22"/>
      <c r="B6" s="22"/>
      <c r="C6" s="6" t="s">
        <v>62</v>
      </c>
      <c r="D6" s="6" t="s">
        <v>80</v>
      </c>
      <c r="E6" s="9" t="s">
        <v>64</v>
      </c>
      <c r="F6" s="9" t="s">
        <v>65</v>
      </c>
      <c r="G6" s="14" t="s">
        <v>81</v>
      </c>
      <c r="H6" s="6" t="s">
        <v>67</v>
      </c>
      <c r="I6" s="6" t="s">
        <v>68</v>
      </c>
      <c r="J6" s="26"/>
      <c r="K6" s="24"/>
      <c r="L6" s="28"/>
      <c r="M6" s="6" t="s">
        <v>82</v>
      </c>
      <c r="N6" s="9" t="s">
        <v>83</v>
      </c>
      <c r="O6" s="12" t="s">
        <v>73</v>
      </c>
      <c r="P6" s="19"/>
      <c r="Q6" s="17"/>
      <c r="R6" s="9" t="s">
        <v>76</v>
      </c>
      <c r="S6" s="6" t="s">
        <v>77</v>
      </c>
      <c r="T6" s="9" t="s">
        <v>84</v>
      </c>
      <c r="U6" s="9" t="s">
        <v>85</v>
      </c>
      <c r="V6" s="5">
        <f>(545.32-581.15)*344</f>
        <v>-12325.519999999975</v>
      </c>
      <c r="W6" s="5">
        <f>(545.32-581.15)*1033</f>
        <v>-37012.389999999927</v>
      </c>
      <c r="X6" s="9">
        <v>0</v>
      </c>
      <c r="Y6" s="6">
        <v>0</v>
      </c>
      <c r="Z6" s="10">
        <f t="shared" si="0"/>
        <v>0</v>
      </c>
    </row>
    <row r="7" spans="1:26" s="1" customFormat="1" ht="118.35" customHeight="1" thickBot="1">
      <c r="A7" s="6"/>
      <c r="B7" s="6"/>
      <c r="C7" s="6"/>
      <c r="D7" s="6"/>
      <c r="E7" s="9"/>
      <c r="F7" s="9"/>
      <c r="G7" s="6"/>
      <c r="H7" s="6"/>
      <c r="I7" s="6"/>
      <c r="J7" s="6"/>
      <c r="K7" s="9"/>
      <c r="L7" s="9"/>
      <c r="M7" s="6"/>
      <c r="N7" s="6"/>
      <c r="O7" s="12"/>
      <c r="P7" s="13"/>
      <c r="Q7" s="11"/>
      <c r="R7" s="9"/>
      <c r="S7" s="9"/>
      <c r="T7" s="9"/>
      <c r="U7" s="9"/>
      <c r="V7" s="5"/>
      <c r="W7" s="5"/>
      <c r="X7" s="9"/>
      <c r="Y7" s="6"/>
      <c r="Z7" s="10"/>
    </row>
    <row r="8" spans="1:26" s="1" customFormat="1" ht="118.35" customHeight="1" thickBot="1">
      <c r="A8" s="6"/>
      <c r="B8" s="6"/>
      <c r="C8" s="6"/>
      <c r="D8" s="6"/>
      <c r="E8" s="9"/>
      <c r="F8" s="9"/>
      <c r="G8" s="14"/>
      <c r="H8" s="6"/>
      <c r="I8" s="6"/>
      <c r="J8" s="6"/>
      <c r="K8" s="9"/>
      <c r="L8" s="9"/>
      <c r="M8" s="6"/>
      <c r="N8" s="6"/>
      <c r="O8" s="12"/>
      <c r="P8" s="13"/>
      <c r="Q8" s="11"/>
      <c r="R8" s="9"/>
      <c r="S8" s="6"/>
      <c r="T8" s="9"/>
      <c r="U8" s="9"/>
      <c r="V8" s="5"/>
      <c r="W8" s="5"/>
      <c r="X8" s="9"/>
      <c r="Y8" s="6"/>
      <c r="Z8" s="10"/>
    </row>
    <row r="9" spans="1:26" s="1" customFormat="1" ht="118.35" customHeight="1" thickBot="1">
      <c r="A9" s="6"/>
      <c r="B9" s="6"/>
      <c r="C9" s="6"/>
      <c r="D9" s="6"/>
      <c r="E9" s="9"/>
      <c r="F9" s="9"/>
      <c r="G9" s="14"/>
      <c r="H9" s="6"/>
      <c r="I9" s="6"/>
      <c r="J9" s="6"/>
      <c r="K9" s="9"/>
      <c r="L9" s="9"/>
      <c r="M9" s="6"/>
      <c r="N9" s="6"/>
      <c r="O9" s="12"/>
      <c r="P9" s="13"/>
      <c r="Q9" s="11"/>
      <c r="R9" s="9"/>
      <c r="S9" s="6"/>
      <c r="T9" s="9"/>
      <c r="U9" s="9"/>
      <c r="V9" s="5"/>
      <c r="W9" s="5"/>
      <c r="X9" s="9"/>
      <c r="Y9" s="6"/>
      <c r="Z9" s="10"/>
    </row>
    <row r="10" spans="1:26" s="1" customFormat="1" ht="42.6"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s="1" customFormat="1" ht="42.6"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s="1" customFormat="1" ht="42.6"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s="1" customFormat="1" ht="42.6"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1" customFormat="1" ht="42.6"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1" customFormat="1" ht="42.6"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1" customFormat="1" ht="42.6"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1" customFormat="1" ht="42.6"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1" customFormat="1" ht="42.6"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1" customFormat="1" ht="42.6"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1" customFormat="1" ht="42.6" customHeight="1">
      <c r="A25" s="3"/>
      <c r="B25" s="3"/>
      <c r="C25" s="3"/>
      <c r="D25" s="3"/>
      <c r="E25" s="3"/>
      <c r="F25" s="3"/>
      <c r="G25" s="3"/>
      <c r="H25" s="3"/>
      <c r="I25" s="3"/>
      <c r="J25" s="3"/>
      <c r="K25" s="3"/>
      <c r="L25" s="3"/>
      <c r="M25" s="3"/>
      <c r="N25" s="3"/>
      <c r="O25" s="3"/>
      <c r="P25" s="3"/>
      <c r="Q25" s="3"/>
      <c r="R25" s="3"/>
      <c r="S25" s="3"/>
      <c r="T25" s="3"/>
      <c r="U25" s="3"/>
      <c r="V25" s="3"/>
      <c r="W25" s="3"/>
      <c r="X25" s="3"/>
      <c r="Y25" s="3"/>
      <c r="Z25" s="3"/>
    </row>
  </sheetData>
  <mergeCells count="8">
    <mergeCell ref="Q5:Q6"/>
    <mergeCell ref="P5:P6"/>
    <mergeCell ref="Q2:Q4"/>
    <mergeCell ref="A5:A6"/>
    <mergeCell ref="B5:B6"/>
    <mergeCell ref="K5:K6"/>
    <mergeCell ref="J5:J6"/>
    <mergeCell ref="L5:L6"/>
  </mergeCells>
  <phoneticPr fontId="6" type="noConversion"/>
  <conditionalFormatting sqref="V1:V4 Z1:Z1048576 V10:V1048576">
    <cfRule type="cellIs" dxfId="4" priority="65" operator="lessThan">
      <formula>0</formula>
    </cfRule>
  </conditionalFormatting>
  <conditionalFormatting sqref="V2:W9">
    <cfRule type="cellIs" dxfId="3" priority="2" operator="greaterThan">
      <formula>0</formula>
    </cfRule>
    <cfRule type="cellIs" dxfId="2" priority="3" operator="lessThan">
      <formula>0</formula>
    </cfRule>
  </conditionalFormatting>
  <conditionalFormatting sqref="W3">
    <cfRule type="cellIs" dxfId="1" priority="1" operator="lessThan">
      <formula>0</formula>
    </cfRule>
  </conditionalFormatting>
  <conditionalFormatting sqref="Z2:Z9">
    <cfRule type="cellIs" dxfId="0" priority="14" operator="greater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AE94798D0E7D4487CB84FC9A87565D" ma:contentTypeVersion="10" ma:contentTypeDescription="Create a new document." ma:contentTypeScope="" ma:versionID="43578f701e86689ec676730cb0ad04f6">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8ca8914e6833cdc63204807a2b0cd05"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EC7195-11E9-4ABC-A241-7A95FF444BE0}"/>
</file>

<file path=customXml/itemProps2.xml><?xml version="1.0" encoding="utf-8"?>
<ds:datastoreItem xmlns:ds="http://schemas.openxmlformats.org/officeDocument/2006/customXml" ds:itemID="{A711F5EC-44C6-4353-AB54-7769902F79C1}"/>
</file>

<file path=customXml/itemProps3.xml><?xml version="1.0" encoding="utf-8"?>
<ds:datastoreItem xmlns:ds="http://schemas.openxmlformats.org/officeDocument/2006/customXml" ds:itemID="{60138A9A-1DB1-4EF0-BAE9-88E8B257FA5F}"/>
</file>

<file path=docProps/app.xml><?xml version="1.0" encoding="utf-8"?>
<Properties xmlns="http://schemas.openxmlformats.org/officeDocument/2006/extended-properties" xmlns:vt="http://schemas.openxmlformats.org/officeDocument/2006/docPropsVTypes">
  <Application>Microsoft Excel Online</Application>
  <Manager/>
  <Company>RVNA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Xiangwei Chen ALF RPSBE1</dc:creator>
  <cp:keywords/>
  <dc:description/>
  <cp:lastModifiedBy>Carrie Wang WSH RPSB</cp:lastModifiedBy>
  <cp:revision/>
  <dcterms:created xsi:type="dcterms:W3CDTF">2025-09-02T13:26:50Z</dcterms:created>
  <dcterms:modified xsi:type="dcterms:W3CDTF">2026-08-19T18:07:50Z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y fmtid="{D5CDD505-2E9C-101B-9397-08002B2CF9AE}" pid="11" name="MediaServiceImageTags">
    <vt:lpwstr/>
  </property>
</Properties>
</file>