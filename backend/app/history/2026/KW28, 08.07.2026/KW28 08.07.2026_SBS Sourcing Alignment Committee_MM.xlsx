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2026/Sourcing Alignment meeting/KW28, 08.07.2026/"/>
    </mc:Choice>
  </mc:AlternateContent>
  <xr:revisionPtr revIDLastSave="96" documentId="8_{ED75598C-C0DE-4335-9D5D-30BF13DEC276}" xr6:coauthVersionLast="47" xr6:coauthVersionMax="47" xr10:uidLastSave="{60CDDA06-8A76-40C2-A2B1-685E59D775AA}"/>
  <bookViews>
    <workbookView xWindow="28680" yWindow="-120" windowWidth="29040" windowHeight="15720" xr2:uid="{00000000-000D-0000-FFFF-FFFF00000000}"/>
  </bookViews>
  <sheets>
    <sheet name="KW28, 2026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4" l="1"/>
  <c r="V8" i="4"/>
  <c r="Z8" i="4"/>
  <c r="W7" i="4"/>
  <c r="V7" i="4"/>
  <c r="Z7" i="4"/>
  <c r="Z4" i="4"/>
  <c r="W3" i="4" l="1"/>
  <c r="V3" i="4"/>
  <c r="V2" i="4"/>
  <c r="W2" i="4" l="1"/>
  <c r="Z2" i="4"/>
</calcChain>
</file>

<file path=xl/sharedStrings.xml><?xml version="1.0" encoding="utf-8"?>
<sst xmlns="http://schemas.openxmlformats.org/spreadsheetml/2006/main" count="110" uniqueCount="93">
  <si>
    <t>Region</t>
  </si>
  <si>
    <t>Type</t>
  </si>
  <si>
    <t xml:space="preserve">LT Spend </t>
  </si>
  <si>
    <t>Project/ Product</t>
  </si>
  <si>
    <t>Commodity</t>
  </si>
  <si>
    <t>Presenter</t>
  </si>
  <si>
    <t>Decision Level</t>
  </si>
  <si>
    <t>Peak Year Spend</t>
  </si>
  <si>
    <t>SWAT ID / Bundle ID</t>
  </si>
  <si>
    <t>PN</t>
  </si>
  <si>
    <t>Recommended Supplier (s)</t>
  </si>
  <si>
    <t xml:space="preserve">Sourcing Decision </t>
  </si>
  <si>
    <t>Part Description</t>
  </si>
  <si>
    <t>Notes/Task/ Resp./ Due Date</t>
  </si>
  <si>
    <t>Parent PF Code</t>
  </si>
  <si>
    <t>CQA PC PRICE</t>
  </si>
  <si>
    <t>Rec. Supplier Landed</t>
  </si>
  <si>
    <t>Average Volume</t>
  </si>
  <si>
    <t>LT volume</t>
  </si>
  <si>
    <t>LT saving</t>
  </si>
  <si>
    <t xml:space="preserve">Rec. Supplier Tooling </t>
  </si>
  <si>
    <t>Average Year Saving vs CQA</t>
  </si>
  <si>
    <t>CQA Tooling</t>
  </si>
  <si>
    <t>Tooling Saving vs CQA</t>
  </si>
  <si>
    <t>Comment</t>
  </si>
  <si>
    <t>NA</t>
  </si>
  <si>
    <t>EU</t>
  </si>
  <si>
    <t>CA</t>
  </si>
  <si>
    <t>CA04003
High complexity parts</t>
  </si>
  <si>
    <t>New</t>
  </si>
  <si>
    <t>MBEAL 
SPR6.1</t>
  </si>
  <si>
    <t xml:space="preserve">B/2026/00133
110000035110 </t>
  </si>
  <si>
    <t>Spool</t>
  </si>
  <si>
    <t>R004B494A</t>
  </si>
  <si>
    <t>OT Motor</t>
  </si>
  <si>
    <t>Piotr Fręchowicz</t>
  </si>
  <si>
    <t xml:space="preserve">B/2026/00133
110000035140 </t>
  </si>
  <si>
    <t>#</t>
  </si>
  <si>
    <t>Approved</t>
  </si>
  <si>
    <t>1. MBEAL AP nomination is still pending by  customer
2. OT Motor 4 cav, XLX 2 cav.
3. TR&amp;R considered and included in the pc price, all spool suppliers.
4. OT Motor quoted with A380, XLX quoted with Alsi9Cu3 XLX, both RM listed in PIR, both allowed.</t>
  </si>
  <si>
    <t>CO</t>
  </si>
  <si>
    <t>SPR6 GM C1UC/UL2</t>
  </si>
  <si>
    <t>FF 01</t>
  </si>
  <si>
    <t>FF01017
Special Gear</t>
  </si>
  <si>
    <t>B/2026/00014
110000033835</t>
  </si>
  <si>
    <t>GEAR, WHEEL TURBINE</t>
  </si>
  <si>
    <t>A028E056A</t>
  </si>
  <si>
    <t>Dual source: 
Jinrong China
 &amp;
SFS Intec Switzerland</t>
  </si>
  <si>
    <t>Robert Nieczyporuk</t>
  </si>
  <si>
    <t>L2</t>
  </si>
  <si>
    <t>1,76 - 2,17 M€</t>
  </si>
  <si>
    <t>4,66 – 7,43 M€</t>
  </si>
  <si>
    <t>0,19 Mpcs</t>
  </si>
  <si>
    <t>1,18 Mpcs</t>
  </si>
  <si>
    <t xml:space="preserve">BMW NCAR </t>
  </si>
  <si>
    <t>B/2026/00014
110000033101</t>
  </si>
  <si>
    <t>GEAR, WHEEL TURBINE Ver. II (Pin Ø2.60)</t>
  </si>
  <si>
    <t>R001E573A</t>
  </si>
  <si>
    <t>0,228 Mpcs</t>
  </si>
  <si>
    <t>1,83 Mpcs</t>
  </si>
  <si>
    <t xml:space="preserve"> NCAR, R2, T1 SUV, T2 SUV</t>
  </si>
  <si>
    <t>B/2026/00014
110000032121</t>
  </si>
  <si>
    <t>0,42 Mpcs</t>
  </si>
  <si>
    <t>9,61 Mpcs</t>
  </si>
  <si>
    <t>1. Tool budget clarification – Family 6 Dawid with NA PM Thomas
2. To negotiate with SFS to accept Consignment or TTOP for NA– SP Robert with SCM Anna</t>
  </si>
  <si>
    <t>Approved KW27</t>
  </si>
  <si>
    <t>AP</t>
  </si>
  <si>
    <t>110000034835</t>
  </si>
  <si>
    <t>FF04010
Sinter Forging</t>
  </si>
  <si>
    <t>33043433D</t>
  </si>
  <si>
    <t>CUTTER</t>
  </si>
  <si>
    <t>FF 04</t>
  </si>
  <si>
    <t>VW Brazil 213</t>
  </si>
  <si>
    <t>New Part</t>
  </si>
  <si>
    <t>ASIMCO Alloy Materials (Yizheng) Co</t>
  </si>
  <si>
    <t>Yajun Zhao</t>
  </si>
  <si>
    <t>L4</t>
  </si>
  <si>
    <t>Approved offline KW28</t>
  </si>
  <si>
    <t>Aligned with Family SPR4.1S</t>
  </si>
  <si>
    <t>0,06494 Euro/pc
0,513 RMB/pc</t>
  </si>
  <si>
    <t>0,04557 Euro/pc
0,36 RMB/pc</t>
  </si>
  <si>
    <t>GM A2LL-2</t>
  </si>
  <si>
    <t>FF04011
MIM</t>
  </si>
  <si>
    <t>110000035727</t>
  </si>
  <si>
    <t>Locking PAWL</t>
  </si>
  <si>
    <t>R000R613A</t>
  </si>
  <si>
    <t>Carbosint S.p.A.</t>
  </si>
  <si>
    <t>Daria Wągiel</t>
  </si>
  <si>
    <t>Aligned with Family SPR6.1</t>
  </si>
  <si>
    <t>0,1874 Euro/pc
0,20614 USD/pc</t>
  </si>
  <si>
    <t>0,1355 Euro/pc
0,14905 USD/pc</t>
  </si>
  <si>
    <t>1. Dual source SFS, Jinrong
2. Recommended is scenario 2
Jinrong for AP, EU and non GM NA customer, SFS for GM NA.</t>
  </si>
  <si>
    <t>1. To check packaging improvement possiblities at XLX, XLX 1728 pcs per pallet vs OT Motor 4000 pcs/pallet. --SP Piotr with SCM Anna
2. To negotiate with OT Motor about consignment for EU and NA.  --SP Piotr with SCM Anna
3. To raise BPG for SPR6.1 Spool to analyze and understand the gaps. --SP Piotr with CE Jacek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</si>
</sst>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00\ [$EUR]"/>
    <numFmt numFmtId="165" formatCode="#,##0\ &quot;€&quot;"/>
    <numFmt numFmtId="166" formatCode="#,##0\ [$€-407];\-#,##0\ [$€-407]"/>
    <numFmt numFmtId="167" formatCode="#,##0\ [$EUR]"/>
    <numFmt numFmtId="168" formatCode="#,##0.00\ &quot;€&quot;"/>
  </numFmts>
  <fonts count="7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color rgb="FF006100"/>
      <name val="Arial"/>
      <family val="2"/>
    </font>
    <font>
      <b/>
      <sz val="8"/>
      <color rgb="FF00B05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</fills>
  <borders count="1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theme="0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theme="0"/>
      </bottom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rgb="FFFFFFFF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rgb="FFFFFFFF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/>
      <diagonal/>
    </border>
    <border>
      <left style="medium">
        <color theme="0"/>
      </left>
      <right style="medium">
        <color rgb="FFFFFFFF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theme="0"/>
      </left>
      <right style="medium">
        <color rgb="FFFFFFFF"/>
      </right>
      <top/>
      <bottom/>
      <diagonal/>
    </border>
  </borders>
  <cellStyleXfs count="2">
    <xf numFmtId="0" fontId="0" fillId="0" borderId="0"/>
    <xf numFmtId="0" fontId="4" fillId="5" borderId="0" applyNumberFormat="0" applyBorder="0" applyAlignment="0" applyProtection="0"/>
  </cellStyleXfs>
  <cellXfs count="58">
    <xf numFmtId="0" fontId="0" fillId="0" borderId="0" xfId="0"/>
    <xf numFmtId="0" fontId="0" fillId="0" borderId="0" xfId="0" applyAlignment="1">
      <alignment wrapText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3" fontId="1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3" fontId="1" fillId="3" borderId="3" xfId="0" quotePrefix="1" applyNumberFormat="1" applyFont="1" applyFill="1" applyBorder="1" applyAlignment="1">
      <alignment horizontal="center" vertical="center" wrapText="1" readingOrder="1"/>
    </xf>
    <xf numFmtId="1" fontId="1" fillId="3" borderId="3" xfId="0" quotePrefix="1" applyNumberFormat="1" applyFont="1" applyFill="1" applyBorder="1" applyAlignment="1">
      <alignment horizontal="center" vertical="center" wrapText="1" readingOrder="1"/>
    </xf>
    <xf numFmtId="166" fontId="5" fillId="5" borderId="3" xfId="1" quotePrefix="1" applyNumberFormat="1" applyFont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164" fontId="1" fillId="3" borderId="3" xfId="0" quotePrefix="1" applyNumberFormat="1" applyFont="1" applyFill="1" applyBorder="1" applyAlignment="1">
      <alignment horizontal="center" vertical="center" wrapText="1" readingOrder="1"/>
    </xf>
    <xf numFmtId="0" fontId="0" fillId="0" borderId="0" xfId="0" applyFont="1" applyAlignment="1">
      <alignment wrapText="1"/>
    </xf>
    <xf numFmtId="44" fontId="5" fillId="5" borderId="3" xfId="1" quotePrefix="1" applyNumberFormat="1" applyFont="1" applyBorder="1" applyAlignment="1">
      <alignment horizontal="center" vertical="center" wrapText="1" readingOrder="1"/>
    </xf>
    <xf numFmtId="0" fontId="1" fillId="3" borderId="0" xfId="0" quotePrefix="1" applyFont="1" applyFill="1" applyBorder="1" applyAlignment="1">
      <alignment horizontal="center" vertical="center" wrapText="1" readingOrder="1"/>
    </xf>
    <xf numFmtId="0" fontId="6" fillId="3" borderId="3" xfId="0" quotePrefix="1" applyFont="1" applyFill="1" applyBorder="1" applyAlignment="1">
      <alignment horizontal="center" vertical="center" wrapText="1" readingOrder="1"/>
    </xf>
    <xf numFmtId="168" fontId="1" fillId="3" borderId="3" xfId="0" quotePrefix="1" applyNumberFormat="1" applyFont="1" applyFill="1" applyBorder="1" applyAlignment="1">
      <alignment horizontal="center" vertical="center" wrapText="1" readingOrder="1"/>
    </xf>
    <xf numFmtId="0" fontId="1" fillId="3" borderId="12" xfId="0" quotePrefix="1" applyFont="1" applyFill="1" applyBorder="1" applyAlignment="1">
      <alignment horizontal="center" vertical="center" wrapText="1" readingOrder="1"/>
    </xf>
    <xf numFmtId="0" fontId="1" fillId="3" borderId="9" xfId="0" quotePrefix="1" applyFont="1" applyFill="1" applyBorder="1" applyAlignment="1">
      <alignment horizontal="center" vertical="center" wrapText="1" readingOrder="1"/>
    </xf>
    <xf numFmtId="0" fontId="1" fillId="3" borderId="10" xfId="0" quotePrefix="1" applyFont="1" applyFill="1" applyBorder="1" applyAlignment="1">
      <alignment horizontal="center" vertical="center" wrapText="1" readingOrder="1"/>
    </xf>
    <xf numFmtId="0" fontId="1" fillId="3" borderId="11" xfId="0" quotePrefix="1" applyFont="1" applyFill="1" applyBorder="1" applyAlignment="1">
      <alignment horizontal="left" vertical="center" wrapText="1" readingOrder="1"/>
    </xf>
    <xf numFmtId="0" fontId="1" fillId="3" borderId="6" xfId="0" quotePrefix="1" applyFont="1" applyFill="1" applyBorder="1" applyAlignment="1">
      <alignment horizontal="left" vertical="center" wrapText="1" readingOrder="1"/>
    </xf>
    <xf numFmtId="0" fontId="1" fillId="3" borderId="4" xfId="0" quotePrefix="1" applyFont="1" applyFill="1" applyBorder="1" applyAlignment="1">
      <alignment horizontal="left" vertical="center" wrapText="1" readingOrder="1"/>
    </xf>
    <xf numFmtId="0" fontId="6" fillId="3" borderId="13" xfId="0" quotePrefix="1" applyFont="1" applyFill="1" applyBorder="1" applyAlignment="1">
      <alignment horizontal="center" vertical="center" wrapText="1" readingOrder="1"/>
    </xf>
    <xf numFmtId="0" fontId="6" fillId="3" borderId="18" xfId="0" quotePrefix="1" applyFont="1" applyFill="1" applyBorder="1" applyAlignment="1">
      <alignment horizontal="center" vertical="center" wrapText="1" readingOrder="1"/>
    </xf>
    <xf numFmtId="0" fontId="1" fillId="3" borderId="12" xfId="0" quotePrefix="1" applyFont="1" applyFill="1" applyBorder="1" applyAlignment="1">
      <alignment horizontal="left" vertical="center" wrapText="1" readingOrder="1"/>
    </xf>
    <xf numFmtId="0" fontId="1" fillId="3" borderId="9" xfId="0" quotePrefix="1" applyFont="1" applyFill="1" applyBorder="1" applyAlignment="1">
      <alignment horizontal="left" vertical="center" wrapText="1" readingOrder="1"/>
    </xf>
    <xf numFmtId="0" fontId="1" fillId="3" borderId="11" xfId="0" quotePrefix="1" applyFont="1" applyFill="1" applyBorder="1" applyAlignment="1">
      <alignment horizontal="center" vertical="center" wrapText="1" readingOrder="1"/>
    </xf>
    <xf numFmtId="0" fontId="1" fillId="3" borderId="6" xfId="0" quotePrefix="1" applyFont="1" applyFill="1" applyBorder="1" applyAlignment="1">
      <alignment horizontal="center" vertical="center" wrapText="1" readingOrder="1"/>
    </xf>
    <xf numFmtId="0" fontId="1" fillId="3" borderId="4" xfId="0" quotePrefix="1" applyFont="1" applyFill="1" applyBorder="1" applyAlignment="1">
      <alignment horizontal="center" vertical="center" wrapText="1" readingOrder="1"/>
    </xf>
    <xf numFmtId="0" fontId="1" fillId="3" borderId="7" xfId="0" quotePrefix="1" applyFont="1" applyFill="1" applyBorder="1" applyAlignment="1">
      <alignment horizontal="center" vertical="center" wrapText="1" readingOrder="1"/>
    </xf>
    <xf numFmtId="0" fontId="1" fillId="3" borderId="17" xfId="0" quotePrefix="1" applyFont="1" applyFill="1" applyBorder="1" applyAlignment="1">
      <alignment horizontal="center" vertical="center" wrapText="1" readingOrder="1"/>
    </xf>
    <xf numFmtId="0" fontId="1" fillId="3" borderId="8" xfId="0" quotePrefix="1" applyFont="1" applyFill="1" applyBorder="1" applyAlignment="1">
      <alignment horizontal="center" vertical="center" wrapText="1" readingOrder="1"/>
    </xf>
    <xf numFmtId="3" fontId="1" fillId="3" borderId="12" xfId="0" quotePrefix="1" applyNumberFormat="1" applyFont="1" applyFill="1" applyBorder="1" applyAlignment="1">
      <alignment horizontal="center" vertical="center" wrapText="1" readingOrder="1"/>
    </xf>
    <xf numFmtId="3" fontId="1" fillId="3" borderId="9" xfId="0" quotePrefix="1" applyNumberFormat="1" applyFont="1" applyFill="1" applyBorder="1" applyAlignment="1">
      <alignment horizontal="center" vertical="center" wrapText="1" readingOrder="1"/>
    </xf>
    <xf numFmtId="3" fontId="1" fillId="3" borderId="10" xfId="0" quotePrefix="1" applyNumberFormat="1" applyFont="1" applyFill="1" applyBorder="1" applyAlignment="1">
      <alignment horizontal="center" vertical="center" wrapText="1" readingOrder="1"/>
    </xf>
    <xf numFmtId="3" fontId="1" fillId="3" borderId="13" xfId="0" quotePrefix="1" applyNumberFormat="1" applyFont="1" applyFill="1" applyBorder="1" applyAlignment="1">
      <alignment horizontal="center" vertical="center" wrapText="1" readingOrder="1"/>
    </xf>
    <xf numFmtId="3" fontId="1" fillId="3" borderId="18" xfId="0" quotePrefix="1" applyNumberFormat="1" applyFont="1" applyFill="1" applyBorder="1" applyAlignment="1">
      <alignment horizontal="center" vertical="center" wrapText="1" readingOrder="1"/>
    </xf>
    <xf numFmtId="3" fontId="1" fillId="3" borderId="14" xfId="0" quotePrefix="1" applyNumberFormat="1" applyFont="1" applyFill="1" applyBorder="1" applyAlignment="1">
      <alignment horizontal="center" vertical="center" wrapText="1" readingOrder="1"/>
    </xf>
    <xf numFmtId="167" fontId="1" fillId="3" borderId="12" xfId="0" quotePrefix="1" applyNumberFormat="1" applyFont="1" applyFill="1" applyBorder="1" applyAlignment="1">
      <alignment horizontal="center" vertical="center" wrapText="1" readingOrder="1"/>
    </xf>
    <xf numFmtId="167" fontId="1" fillId="3" borderId="10" xfId="0" quotePrefix="1" applyNumberFormat="1" applyFont="1" applyFill="1" applyBorder="1" applyAlignment="1">
      <alignment horizontal="center" vertical="center" wrapText="1" readingOrder="1"/>
    </xf>
    <xf numFmtId="167" fontId="1" fillId="3" borderId="11" xfId="0" quotePrefix="1" applyNumberFormat="1" applyFont="1" applyFill="1" applyBorder="1" applyAlignment="1">
      <alignment horizontal="center" vertical="center" wrapText="1" readingOrder="1"/>
    </xf>
    <xf numFmtId="167" fontId="1" fillId="3" borderId="4" xfId="0" quotePrefix="1" applyNumberFormat="1" applyFont="1" applyFill="1" applyBorder="1" applyAlignment="1">
      <alignment horizontal="center" vertical="center" wrapText="1" readingOrder="1"/>
    </xf>
    <xf numFmtId="44" fontId="5" fillId="5" borderId="13" xfId="1" quotePrefix="1" applyNumberFormat="1" applyFont="1" applyBorder="1" applyAlignment="1">
      <alignment horizontal="center" vertical="center" wrapText="1" readingOrder="1"/>
    </xf>
    <xf numFmtId="44" fontId="5" fillId="5" borderId="14" xfId="1" quotePrefix="1" applyNumberFormat="1" applyFont="1" applyBorder="1" applyAlignment="1">
      <alignment horizontal="center" vertical="center" wrapText="1" readingOrder="1"/>
    </xf>
    <xf numFmtId="165" fontId="1" fillId="3" borderId="6" xfId="0" quotePrefix="1" applyNumberFormat="1" applyFont="1" applyFill="1" applyBorder="1" applyAlignment="1">
      <alignment horizontal="center" vertical="center" wrapText="1" readingOrder="1"/>
    </xf>
    <xf numFmtId="165" fontId="1" fillId="3" borderId="4" xfId="0" quotePrefix="1" applyNumberFormat="1" applyFont="1" applyFill="1" applyBorder="1" applyAlignment="1">
      <alignment horizontal="center" vertical="center" wrapText="1" readingOrder="1"/>
    </xf>
    <xf numFmtId="0" fontId="1" fillId="3" borderId="15" xfId="0" quotePrefix="1" applyFont="1" applyFill="1" applyBorder="1" applyAlignment="1">
      <alignment horizontal="left" vertical="center" wrapText="1" readingOrder="1"/>
    </xf>
    <xf numFmtId="0" fontId="1" fillId="3" borderId="16" xfId="0" quotePrefix="1" applyFont="1" applyFill="1" applyBorder="1" applyAlignment="1">
      <alignment horizontal="left" vertical="center" wrapText="1" readingOrder="1"/>
    </xf>
    <xf numFmtId="0" fontId="6" fillId="3" borderId="11" xfId="0" quotePrefix="1" applyFont="1" applyFill="1" applyBorder="1" applyAlignment="1">
      <alignment horizontal="center" vertical="center" wrapText="1" readingOrder="1"/>
    </xf>
    <xf numFmtId="0" fontId="6" fillId="3" borderId="4" xfId="0" quotePrefix="1" applyFont="1" applyFill="1" applyBorder="1" applyAlignment="1">
      <alignment horizontal="center" vertical="center" wrapText="1" readingOrder="1"/>
    </xf>
  </cellXfs>
  <cellStyles count="2">
    <cellStyle name="Good" xfId="1" builtinId="26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sheetPr>
    <pageSetUpPr fitToPage="1"/>
  </sheetPr>
  <dimension ref="A1:Z29"/>
  <sheetViews>
    <sheetView tabSelected="1" zoomScale="115" zoomScaleNormal="115" workbookViewId="0">
      <pane ySplit="1" topLeftCell="A2" activePane="bottomLeft" state="frozen"/>
      <selection pane="bottomLeft" activeCell="L4" sqref="L4:L6"/>
    </sheetView>
  </sheetViews>
  <sheetFormatPr defaultColWidth="9.21875" defaultRowHeight="14.4" x14ac:dyDescent="0.3"/>
  <cols>
    <col min="1" max="1" width="6.5546875" style="9" customWidth="1"/>
    <col min="2" max="2" width="7.77734375" style="12" customWidth="1"/>
    <col min="3" max="3" width="10.5546875" style="12" customWidth="1"/>
    <col min="4" max="4" width="17.77734375" style="12" customWidth="1"/>
    <col min="5" max="5" width="10.44140625" style="12" customWidth="1"/>
    <col min="6" max="6" width="14" style="12" customWidth="1"/>
    <col min="7" max="7" width="14.88671875" style="12" customWidth="1"/>
    <col min="8" max="8" width="15.77734375" style="12" customWidth="1"/>
    <col min="9" max="9" width="12.21875" style="12" customWidth="1"/>
    <col min="10" max="10" width="14.44140625" style="12" customWidth="1"/>
    <col min="11" max="11" width="17.21875" style="12" customWidth="1"/>
    <col min="12" max="12" width="8.77734375" style="12"/>
    <col min="13" max="13" width="12" style="12" customWidth="1"/>
    <col min="14" max="14" width="10.21875" style="12" customWidth="1"/>
    <col min="15" max="15" width="32.5546875" style="12" customWidth="1"/>
    <col min="16" max="16" width="10" bestFit="1" customWidth="1"/>
    <col min="17" max="17" width="30.44140625" customWidth="1"/>
    <col min="18" max="18" width="12" customWidth="1"/>
    <col min="19" max="19" width="12.109375" customWidth="1"/>
    <col min="20" max="20" width="11.109375" customWidth="1"/>
    <col min="21" max="21" width="8.5546875" customWidth="1"/>
    <col min="22" max="22" width="13" customWidth="1"/>
    <col min="23" max="23" width="15.21875" customWidth="1"/>
    <col min="24" max="24" width="9.88671875" customWidth="1"/>
    <col min="25" max="25" width="10.6640625" customWidth="1"/>
    <col min="26" max="26" width="10.5546875" customWidth="1"/>
  </cols>
  <sheetData>
    <row r="1" spans="1:26" s="1" customFormat="1" ht="42.6" customHeight="1" thickBot="1" x14ac:dyDescent="0.35">
      <c r="A1" s="7" t="s">
        <v>37</v>
      </c>
      <c r="B1" s="10" t="s">
        <v>0</v>
      </c>
      <c r="C1" s="10" t="s">
        <v>1</v>
      </c>
      <c r="D1" s="10" t="s">
        <v>3</v>
      </c>
      <c r="E1" s="10" t="s">
        <v>4</v>
      </c>
      <c r="F1" s="10" t="s">
        <v>14</v>
      </c>
      <c r="G1" s="10" t="s">
        <v>8</v>
      </c>
      <c r="H1" s="10" t="s">
        <v>12</v>
      </c>
      <c r="I1" s="10" t="s">
        <v>9</v>
      </c>
      <c r="J1" s="10" t="s">
        <v>10</v>
      </c>
      <c r="K1" s="10" t="s">
        <v>5</v>
      </c>
      <c r="L1" s="10" t="s">
        <v>6</v>
      </c>
      <c r="M1" s="10" t="s">
        <v>7</v>
      </c>
      <c r="N1" s="10" t="s">
        <v>2</v>
      </c>
      <c r="O1" s="10" t="s">
        <v>24</v>
      </c>
      <c r="P1" s="3" t="s">
        <v>11</v>
      </c>
      <c r="Q1" s="3" t="s">
        <v>13</v>
      </c>
      <c r="R1" s="16" t="s">
        <v>15</v>
      </c>
      <c r="S1" s="16" t="s">
        <v>16</v>
      </c>
      <c r="T1" s="17" t="s">
        <v>17</v>
      </c>
      <c r="U1" s="17" t="s">
        <v>18</v>
      </c>
      <c r="V1" s="17" t="s">
        <v>21</v>
      </c>
      <c r="W1" s="17" t="s">
        <v>19</v>
      </c>
      <c r="X1" s="16" t="s">
        <v>22</v>
      </c>
      <c r="Y1" s="16" t="s">
        <v>20</v>
      </c>
      <c r="Z1" s="16" t="s">
        <v>23</v>
      </c>
    </row>
    <row r="2" spans="1:26" s="19" customFormat="1" ht="54.6" customHeight="1" thickBot="1" x14ac:dyDescent="0.35">
      <c r="A2" s="35">
        <v>1</v>
      </c>
      <c r="B2" s="6" t="s">
        <v>26</v>
      </c>
      <c r="C2" s="35" t="s">
        <v>29</v>
      </c>
      <c r="D2" s="35" t="s">
        <v>30</v>
      </c>
      <c r="E2" s="35" t="s">
        <v>27</v>
      </c>
      <c r="F2" s="35" t="s">
        <v>28</v>
      </c>
      <c r="G2" s="14" t="s">
        <v>31</v>
      </c>
      <c r="H2" s="37" t="s">
        <v>32</v>
      </c>
      <c r="I2" s="37" t="s">
        <v>33</v>
      </c>
      <c r="J2" s="37" t="s">
        <v>34</v>
      </c>
      <c r="K2" s="25" t="s">
        <v>35</v>
      </c>
      <c r="L2" s="35" t="s">
        <v>49</v>
      </c>
      <c r="M2" s="52">
        <v>307827</v>
      </c>
      <c r="N2" s="52">
        <v>1919378</v>
      </c>
      <c r="O2" s="27" t="s">
        <v>39</v>
      </c>
      <c r="P2" s="56" t="s">
        <v>38</v>
      </c>
      <c r="Q2" s="54" t="s">
        <v>92</v>
      </c>
      <c r="R2" s="18">
        <v>0.65</v>
      </c>
      <c r="S2" s="18">
        <v>0.60909999999999997</v>
      </c>
      <c r="T2" s="13">
        <v>69522</v>
      </c>
      <c r="U2" s="13">
        <v>625698</v>
      </c>
      <c r="V2" s="15">
        <f>T2*(S2-R2)</f>
        <v>-2843.4498000000035</v>
      </c>
      <c r="W2" s="15">
        <f t="shared" ref="W2:W3" si="0">U2*(S2-R2)</f>
        <v>-25591.04820000003</v>
      </c>
      <c r="X2" s="46">
        <v>75000</v>
      </c>
      <c r="Y2" s="48">
        <v>68300</v>
      </c>
      <c r="Z2" s="50">
        <f t="shared" ref="Z2" si="1">Y2-X2</f>
        <v>-6700</v>
      </c>
    </row>
    <row r="3" spans="1:26" s="1" customFormat="1" ht="62.4" customHeight="1" thickBot="1" x14ac:dyDescent="0.35">
      <c r="A3" s="36"/>
      <c r="B3" s="5" t="s">
        <v>25</v>
      </c>
      <c r="C3" s="36"/>
      <c r="D3" s="36"/>
      <c r="E3" s="36"/>
      <c r="F3" s="36"/>
      <c r="G3" s="14" t="s">
        <v>36</v>
      </c>
      <c r="H3" s="39"/>
      <c r="I3" s="39"/>
      <c r="J3" s="39"/>
      <c r="K3" s="26"/>
      <c r="L3" s="36"/>
      <c r="M3" s="53"/>
      <c r="N3" s="53"/>
      <c r="O3" s="29"/>
      <c r="P3" s="57"/>
      <c r="Q3" s="55"/>
      <c r="R3" s="18">
        <v>0.65</v>
      </c>
      <c r="S3" s="18">
        <v>0.60909999999999997</v>
      </c>
      <c r="T3" s="13">
        <v>319567</v>
      </c>
      <c r="U3" s="4">
        <v>2556532</v>
      </c>
      <c r="V3" s="15">
        <f>T3*(S3-R3)</f>
        <v>-13070.290300000015</v>
      </c>
      <c r="W3" s="15">
        <f t="shared" si="0"/>
        <v>-104562.15880000012</v>
      </c>
      <c r="X3" s="47"/>
      <c r="Y3" s="49"/>
      <c r="Z3" s="51"/>
    </row>
    <row r="4" spans="1:26" s="1" customFormat="1" ht="42.6" customHeight="1" thickBot="1" x14ac:dyDescent="0.35">
      <c r="A4" s="34">
        <v>2</v>
      </c>
      <c r="B4" s="5" t="s">
        <v>25</v>
      </c>
      <c r="C4" s="5" t="s">
        <v>40</v>
      </c>
      <c r="D4" s="5" t="s">
        <v>41</v>
      </c>
      <c r="E4" s="13" t="s">
        <v>42</v>
      </c>
      <c r="F4" s="13" t="s">
        <v>43</v>
      </c>
      <c r="G4" s="14" t="s">
        <v>44</v>
      </c>
      <c r="H4" s="5" t="s">
        <v>45</v>
      </c>
      <c r="I4" s="5" t="s">
        <v>46</v>
      </c>
      <c r="J4" s="37" t="s">
        <v>47</v>
      </c>
      <c r="K4" s="40" t="s">
        <v>48</v>
      </c>
      <c r="L4" s="43" t="s">
        <v>49</v>
      </c>
      <c r="M4" s="24" t="s">
        <v>50</v>
      </c>
      <c r="N4" s="24" t="s">
        <v>51</v>
      </c>
      <c r="O4" s="27" t="s">
        <v>91</v>
      </c>
      <c r="P4" s="30" t="s">
        <v>65</v>
      </c>
      <c r="Q4" s="32" t="s">
        <v>64</v>
      </c>
      <c r="R4" s="13"/>
      <c r="S4" s="5"/>
      <c r="T4" s="13" t="s">
        <v>52</v>
      </c>
      <c r="U4" s="13" t="s">
        <v>53</v>
      </c>
      <c r="V4" s="15"/>
      <c r="W4" s="15"/>
      <c r="X4" s="13">
        <v>0</v>
      </c>
      <c r="Y4" s="5"/>
      <c r="Z4" s="20">
        <f t="shared" ref="Z4" si="2">Y4-X4</f>
        <v>0</v>
      </c>
    </row>
    <row r="5" spans="1:26" s="1" customFormat="1" ht="42.6" customHeight="1" thickBot="1" x14ac:dyDescent="0.35">
      <c r="A5" s="35"/>
      <c r="B5" s="5" t="s">
        <v>25</v>
      </c>
      <c r="C5" s="5" t="s">
        <v>40</v>
      </c>
      <c r="D5" s="5" t="s">
        <v>54</v>
      </c>
      <c r="E5" s="13" t="s">
        <v>42</v>
      </c>
      <c r="F5" s="13" t="s">
        <v>43</v>
      </c>
      <c r="G5" s="14" t="s">
        <v>55</v>
      </c>
      <c r="H5" s="5" t="s">
        <v>56</v>
      </c>
      <c r="I5" s="5" t="s">
        <v>57</v>
      </c>
      <c r="J5" s="38"/>
      <c r="K5" s="41"/>
      <c r="L5" s="44"/>
      <c r="M5" s="25"/>
      <c r="N5" s="25"/>
      <c r="O5" s="28"/>
      <c r="P5" s="31"/>
      <c r="Q5" s="33"/>
      <c r="R5" s="13"/>
      <c r="S5" s="5"/>
      <c r="T5" s="13" t="s">
        <v>58</v>
      </c>
      <c r="U5" s="13" t="s">
        <v>59</v>
      </c>
      <c r="V5" s="15"/>
      <c r="W5" s="15"/>
      <c r="X5" s="13">
        <v>0</v>
      </c>
      <c r="Y5" s="5"/>
      <c r="Z5" s="20"/>
    </row>
    <row r="6" spans="1:26" s="1" customFormat="1" ht="46.8" customHeight="1" thickBot="1" x14ac:dyDescent="0.35">
      <c r="A6" s="36"/>
      <c r="B6" s="5" t="s">
        <v>25</v>
      </c>
      <c r="C6" s="5" t="s">
        <v>40</v>
      </c>
      <c r="D6" s="5" t="s">
        <v>60</v>
      </c>
      <c r="E6" s="13" t="s">
        <v>42</v>
      </c>
      <c r="F6" s="13" t="s">
        <v>43</v>
      </c>
      <c r="G6" s="14" t="s">
        <v>61</v>
      </c>
      <c r="H6" s="5" t="s">
        <v>45</v>
      </c>
      <c r="I6" s="5" t="s">
        <v>46</v>
      </c>
      <c r="J6" s="39"/>
      <c r="K6" s="42"/>
      <c r="L6" s="45"/>
      <c r="M6" s="26"/>
      <c r="N6" s="26"/>
      <c r="O6" s="29"/>
      <c r="P6" s="31"/>
      <c r="Q6" s="33"/>
      <c r="R6" s="13"/>
      <c r="S6" s="5"/>
      <c r="T6" s="13" t="s">
        <v>62</v>
      </c>
      <c r="U6" s="13" t="s">
        <v>63</v>
      </c>
      <c r="V6" s="15"/>
      <c r="W6" s="15"/>
      <c r="X6" s="13">
        <v>0</v>
      </c>
      <c r="Y6" s="5"/>
      <c r="Z6" s="20"/>
    </row>
    <row r="7" spans="1:26" s="1" customFormat="1" ht="42.6" customHeight="1" thickBot="1" x14ac:dyDescent="0.35">
      <c r="A7" s="5">
        <v>3</v>
      </c>
      <c r="B7" s="5" t="s">
        <v>66</v>
      </c>
      <c r="C7" s="5" t="s">
        <v>73</v>
      </c>
      <c r="D7" s="5" t="s">
        <v>72</v>
      </c>
      <c r="E7" s="13" t="s">
        <v>71</v>
      </c>
      <c r="F7" s="13" t="s">
        <v>68</v>
      </c>
      <c r="G7" s="14" t="s">
        <v>67</v>
      </c>
      <c r="H7" s="5" t="s">
        <v>70</v>
      </c>
      <c r="I7" s="5" t="s">
        <v>69</v>
      </c>
      <c r="J7" s="5" t="s">
        <v>74</v>
      </c>
      <c r="K7" s="5" t="s">
        <v>75</v>
      </c>
      <c r="L7" s="5" t="s">
        <v>76</v>
      </c>
      <c r="M7" s="23">
        <v>10549.46</v>
      </c>
      <c r="N7" s="23">
        <v>71591.509999999995</v>
      </c>
      <c r="O7" s="2" t="s">
        <v>78</v>
      </c>
      <c r="P7" s="22" t="s">
        <v>77</v>
      </c>
      <c r="Q7" s="5"/>
      <c r="R7" s="5" t="s">
        <v>79</v>
      </c>
      <c r="S7" s="5" t="s">
        <v>80</v>
      </c>
      <c r="T7" s="13">
        <v>196380</v>
      </c>
      <c r="U7" s="13">
        <v>1571036</v>
      </c>
      <c r="V7" s="15">
        <f>(0.04557-0.06494)*T7</f>
        <v>-3803.8805999999995</v>
      </c>
      <c r="W7" s="15">
        <f>(0.04557-0.06494)*U7</f>
        <v>-30430.967319999996</v>
      </c>
      <c r="X7" s="13">
        <v>0</v>
      </c>
      <c r="Y7" s="5">
        <v>0</v>
      </c>
      <c r="Z7" s="20">
        <f t="shared" ref="Z7" si="3">Y7-X7</f>
        <v>0</v>
      </c>
    </row>
    <row r="8" spans="1:26" s="1" customFormat="1" ht="42.6" customHeight="1" thickBot="1" x14ac:dyDescent="0.35">
      <c r="A8" s="21">
        <v>4</v>
      </c>
      <c r="B8" s="5" t="s">
        <v>25</v>
      </c>
      <c r="C8" s="5" t="s">
        <v>40</v>
      </c>
      <c r="D8" s="5" t="s">
        <v>81</v>
      </c>
      <c r="E8" s="13" t="s">
        <v>71</v>
      </c>
      <c r="F8" s="13" t="s">
        <v>82</v>
      </c>
      <c r="G8" s="14" t="s">
        <v>83</v>
      </c>
      <c r="H8" s="5" t="s">
        <v>84</v>
      </c>
      <c r="I8" s="5" t="s">
        <v>85</v>
      </c>
      <c r="J8" s="5" t="s">
        <v>86</v>
      </c>
      <c r="K8" s="5" t="s">
        <v>87</v>
      </c>
      <c r="L8" s="5" t="s">
        <v>76</v>
      </c>
      <c r="M8" s="23">
        <v>12466</v>
      </c>
      <c r="N8" s="23">
        <v>64498</v>
      </c>
      <c r="O8" s="2" t="s">
        <v>88</v>
      </c>
      <c r="P8" s="22" t="s">
        <v>77</v>
      </c>
      <c r="Q8" s="5"/>
      <c r="R8" s="5" t="s">
        <v>89</v>
      </c>
      <c r="S8" s="5" t="s">
        <v>90</v>
      </c>
      <c r="T8" s="13">
        <v>79333</v>
      </c>
      <c r="U8" s="13">
        <v>476000</v>
      </c>
      <c r="V8" s="15">
        <f>(0.1355-0.1874)*T8</f>
        <v>-4117.3827000000001</v>
      </c>
      <c r="W8" s="15">
        <f>(0.1355-0.1874)*U8</f>
        <v>-24704.400000000001</v>
      </c>
      <c r="X8" s="13">
        <v>0</v>
      </c>
      <c r="Y8" s="5">
        <v>0</v>
      </c>
      <c r="Z8" s="20">
        <f t="shared" ref="Z8" si="4">Y8-X8</f>
        <v>0</v>
      </c>
    </row>
    <row r="9" spans="1:26" s="1" customFormat="1" ht="42.6" customHeight="1" x14ac:dyDescent="0.3">
      <c r="A9" s="8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26" s="1" customFormat="1" ht="42.6" customHeight="1" x14ac:dyDescent="0.3">
      <c r="A10" s="8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26" s="1" customFormat="1" ht="42.6" customHeight="1" x14ac:dyDescent="0.3">
      <c r="A11" s="8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26" s="1" customFormat="1" ht="42.6" customHeight="1" x14ac:dyDescent="0.3">
      <c r="A12" s="8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26" s="1" customFormat="1" ht="42.6" customHeight="1" x14ac:dyDescent="0.3">
      <c r="A13" s="8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26" s="1" customFormat="1" ht="42.6" customHeight="1" x14ac:dyDescent="0.3">
      <c r="A14" s="8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26" s="1" customFormat="1" ht="42.6" customHeight="1" x14ac:dyDescent="0.3">
      <c r="A15" s="8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26" s="1" customFormat="1" ht="42.6" customHeight="1" x14ac:dyDescent="0.3">
      <c r="A16" s="8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 s="1" customFormat="1" ht="42.6" customHeight="1" x14ac:dyDescent="0.3">
      <c r="A17" s="8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 s="1" customFormat="1" ht="42.6" customHeight="1" x14ac:dyDescent="0.3">
      <c r="A18" s="8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s="1" customFormat="1" ht="42.6" customHeight="1" x14ac:dyDescent="0.3">
      <c r="A19" s="8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s="1" customFormat="1" ht="42.6" customHeight="1" x14ac:dyDescent="0.3">
      <c r="A20" s="8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 s="1" customFormat="1" ht="42.6" customHeight="1" x14ac:dyDescent="0.3">
      <c r="A21" s="8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spans="1:15" s="1" customFormat="1" ht="42.6" customHeight="1" x14ac:dyDescent="0.3">
      <c r="A22" s="8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spans="1:15" s="1" customFormat="1" ht="42.6" customHeight="1" x14ac:dyDescent="0.3">
      <c r="A23" s="8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spans="1:15" s="1" customFormat="1" ht="42.6" customHeight="1" x14ac:dyDescent="0.3">
      <c r="A24" s="8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spans="1:15" s="1" customFormat="1" ht="42.6" customHeight="1" x14ac:dyDescent="0.3">
      <c r="A25" s="8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spans="1:15" s="1" customFormat="1" ht="42.6" customHeight="1" x14ac:dyDescent="0.3">
      <c r="A26" s="8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spans="1:15" s="1" customFormat="1" ht="42.6" customHeight="1" x14ac:dyDescent="0.3">
      <c r="A27" s="8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spans="1:15" s="1" customFormat="1" ht="42.6" customHeight="1" x14ac:dyDescent="0.3">
      <c r="A28" s="8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spans="1:15" s="1" customFormat="1" ht="42.6" customHeight="1" x14ac:dyDescent="0.3">
      <c r="A29" s="8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</sheetData>
  <mergeCells count="27">
    <mergeCell ref="X2:X3"/>
    <mergeCell ref="Y2:Y3"/>
    <mergeCell ref="Z2:Z3"/>
    <mergeCell ref="K2:K3"/>
    <mergeCell ref="J2:J3"/>
    <mergeCell ref="L2:L3"/>
    <mergeCell ref="M2:M3"/>
    <mergeCell ref="N2:N3"/>
    <mergeCell ref="O2:O3"/>
    <mergeCell ref="Q2:Q3"/>
    <mergeCell ref="P2:P3"/>
    <mergeCell ref="I2:I3"/>
    <mergeCell ref="A2:A3"/>
    <mergeCell ref="C2:C3"/>
    <mergeCell ref="D2:D3"/>
    <mergeCell ref="E2:E3"/>
    <mergeCell ref="F2:F3"/>
    <mergeCell ref="H2:H3"/>
    <mergeCell ref="N4:N6"/>
    <mergeCell ref="O4:O6"/>
    <mergeCell ref="P4:P6"/>
    <mergeCell ref="Q4:Q6"/>
    <mergeCell ref="A4:A6"/>
    <mergeCell ref="J4:J6"/>
    <mergeCell ref="K4:K6"/>
    <mergeCell ref="L4:L6"/>
    <mergeCell ref="M4:M6"/>
  </mergeCells>
  <phoneticPr fontId="3" type="noConversion"/>
  <conditionalFormatting sqref="V1 V9:V1048576">
    <cfRule type="cellIs" dxfId="6" priority="19" operator="lessThan">
      <formula>0</formula>
    </cfRule>
  </conditionalFormatting>
  <conditionalFormatting sqref="V2:W8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Z1:Z2">
    <cfRule type="cellIs" dxfId="3" priority="8" operator="lessThan">
      <formula>0</formula>
    </cfRule>
  </conditionalFormatting>
  <conditionalFormatting sqref="Z2">
    <cfRule type="cellIs" dxfId="2" priority="7" operator="greaterThan">
      <formula>0</formula>
    </cfRule>
  </conditionalFormatting>
  <conditionalFormatting sqref="Z4:Z8">
    <cfRule type="cellIs" dxfId="1" priority="5" operator="greaterThan">
      <formula>0</formula>
    </cfRule>
  </conditionalFormatting>
  <conditionalFormatting sqref="Z4:Z1048576">
    <cfRule type="cellIs" dxfId="0" priority="6" operator="lessThan">
      <formula>0</formula>
    </cfRule>
  </conditionalFormatting>
  <pageMargins left="0.7" right="0.7" top="0.75" bottom="0.75" header="0.3" footer="0.3"/>
  <pageSetup paperSize="17" scale="71" fitToHeight="0" orientation="landscape" r:id="rId1"/>
  <customProperties>
    <customPr name="_pios_id" r:id="rId2"/>
    <customPr name="Ibp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10" ma:contentTypeDescription="Ein neues Dokument erstellen." ma:contentTypeScope="" ma:versionID="728a42373757fe19dbf32cb01accea12">
  <xsd:schema xmlns:xsd="http://www.w3.org/2001/XMLSchema" xmlns:xs="http://www.w3.org/2001/XMLSchema" xmlns:p="http://schemas.microsoft.com/office/2006/metadata/properties" xmlns:ns2="c58f02bd-e0b7-474b-a2bc-9a19f162f3a8" xmlns:ns3="b7d00205-0ffb-4bc2-b18e-b800942d8fea" targetNamespace="http://schemas.microsoft.com/office/2006/metadata/properties" ma:root="true" ma:fieldsID="86d1219d07439347edf1a7dd06578600" ns2:_="" ns3:_="">
    <xsd:import namespace="c58f02bd-e0b7-474b-a2bc-9a19f162f3a8"/>
    <xsd:import namespace="b7d00205-0ffb-4bc2-b18e-b800942d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2c1abb6-7528-48c8-bade-a0efe8056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00205-0ffb-4bc2-b18e-b800942d8f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f941d5-66b0-4dcf-b0f6-17179381c1ce}" ma:internalName="TaxCatchAll" ma:showField="CatchAllData" ma:web="b7d00205-0ffb-4bc2-b18e-b800942d8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d00205-0ffb-4bc2-b18e-b800942d8fea" xsi:nil="true"/>
    <lcf76f155ced4ddcb4097134ff3c332f xmlns="c58f02bd-e0b7-474b-a2bc-9a19f162f3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5D5C92-FBD0-4622-9F4D-D781472353DE}"/>
</file>

<file path=customXml/itemProps2.xml><?xml version="1.0" encoding="utf-8"?>
<ds:datastoreItem xmlns:ds="http://schemas.openxmlformats.org/officeDocument/2006/customXml" ds:itemID="{0CEB9449-57D9-4022-8081-D854279E10AB}"/>
</file>

<file path=customXml/itemProps3.xml><?xml version="1.0" encoding="utf-8"?>
<ds:datastoreItem xmlns:ds="http://schemas.openxmlformats.org/officeDocument/2006/customXml" ds:itemID="{33E89BE4-9996-4765-B0B8-226BAB25B1D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KW28, 2026</vt:lpstr>
    </vt:vector>
  </TitlesOfParts>
  <Company>RVNA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Xiangwei Chen ALF RPSBE1</dc:creator>
  <cp:lastModifiedBy>Xiangwei Chen ALF RPSBE1</cp:lastModifiedBy>
  <cp:lastPrinted>2025-09-15T15:27:47Z</cp:lastPrinted>
  <dcterms:created xsi:type="dcterms:W3CDTF">2025-09-02T13:26:50Z</dcterms:created>
  <dcterms:modified xsi:type="dcterms:W3CDTF">2026-07-09T13:15:43Z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CustomUiType">
    <vt:lpwstr>2</vt:lpwstr>
  </property>
  <property fmtid="{D5CDD505-2E9C-101B-9397-08002B2CF9AE}" pid="10" name="IbpWorkbookKeyString_GUID">
    <vt:lpwstr>c7b7ae5a-f3f0-43ee-b73c-55769b880291</vt:lpwstr>
  </property>
  <property fmtid="{D5CDD505-2E9C-101B-9397-08002B2CF9AE}" pid="11" name="ContentTypeId">
    <vt:lpwstr>0x010100D2AE94798D0E7D4487CB84FC9A87565D</vt:lpwstr>
  </property>
</Properties>
</file>